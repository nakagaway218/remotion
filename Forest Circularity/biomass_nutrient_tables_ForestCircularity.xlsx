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akag\Desktop\GitHub\Myownproject\Forest Circularity\"/>
    </mc:Choice>
  </mc:AlternateContent>
  <xr:revisionPtr revIDLastSave="0" documentId="13_ncr:1_{FBE6A9F9-6408-452A-8CB5-00393D3A596C}" xr6:coauthVersionLast="47" xr6:coauthVersionMax="47" xr10:uidLastSave="{00000000-0000-0000-0000-000000000000}"/>
  <bookViews>
    <workbookView xWindow="-110" yWindow="-110" windowWidth="25820" windowHeight="15500" xr2:uid="{00000000-000D-0000-FFFF-FFFF00000000}"/>
  </bookViews>
  <sheets>
    <sheet name="掲載用表" sheetId="1" r:id="rId1"/>
    <sheet name="元データ・換算確認"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2" l="1"/>
  <c r="N10" i="2"/>
  <c r="M10" i="2"/>
  <c r="E9" i="2"/>
  <c r="Q8" i="2"/>
  <c r="P8" i="2"/>
  <c r="O8" i="2"/>
  <c r="N8" i="2"/>
  <c r="M8" i="2"/>
  <c r="E7" i="2"/>
  <c r="M9" i="2" s="1"/>
  <c r="E6" i="2"/>
  <c r="Q5" i="2"/>
  <c r="P5" i="2"/>
  <c r="O5" i="2"/>
  <c r="N5" i="2"/>
  <c r="M5" i="2"/>
  <c r="E5" i="2"/>
  <c r="Q7" i="2" s="1"/>
  <c r="Q4" i="2"/>
  <c r="P4" i="2"/>
  <c r="O4" i="2"/>
  <c r="N4" i="2"/>
  <c r="M4" i="2"/>
  <c r="E4" i="2"/>
  <c r="Q6" i="2" s="1"/>
  <c r="M7" i="2" l="1"/>
  <c r="N7" i="2"/>
  <c r="O7" i="2"/>
  <c r="P7" i="2"/>
  <c r="N9" i="2"/>
  <c r="O9" i="2"/>
  <c r="M6" i="2"/>
  <c r="P9" i="2"/>
  <c r="N6" i="2"/>
  <c r="Q9" i="2"/>
  <c r="O6" i="2"/>
  <c r="P6" i="2"/>
</calcChain>
</file>

<file path=xl/sharedStrings.xml><?xml version="1.0" encoding="utf-8"?>
<sst xmlns="http://schemas.openxmlformats.org/spreadsheetml/2006/main" count="302" uniqueCount="98">
  <si>
    <t>主要なバイオマス由来資材の養分含有量</t>
  </si>
  <si>
    <t>固形資材は原物重量当たり、液状資材は原液容量当たりで整理。右端の「参照」は下部の参照資料番号に対応する。</t>
  </si>
  <si>
    <t>表1　主要なバイオマス由来固形資材の養分含有量</t>
  </si>
  <si>
    <t>資材</t>
  </si>
  <si>
    <t>水分（%）</t>
  </si>
  <si>
    <t>C/N比</t>
  </si>
  <si>
    <t>N（g/kg）</t>
  </si>
  <si>
    <t>P（g/kg）</t>
  </si>
  <si>
    <t>K（g/kg）</t>
  </si>
  <si>
    <t>Ca（g/kg）</t>
  </si>
  <si>
    <t>Mg（g/kg）</t>
  </si>
  <si>
    <t>参照</t>
  </si>
  <si>
    <t>牛ふん堆肥</t>
  </si>
  <si>
    <t>(1)</t>
  </si>
  <si>
    <t>下水汚泥コンポスト（高島浄化センター）</t>
  </si>
  <si>
    <t>(2)</t>
  </si>
  <si>
    <t>バイオ炭（もみ殻炭）</t>
  </si>
  <si>
    <t>―</t>
  </si>
  <si>
    <t>5.70※1</t>
  </si>
  <si>
    <t>1.00※1</t>
  </si>
  <si>
    <t>11.4※1</t>
  </si>
  <si>
    <t>2.72※1</t>
  </si>
  <si>
    <t>1.03※1</t>
  </si>
  <si>
    <t>(5)</t>
  </si>
  <si>
    <t>木質バイオマス燃焼灰</t>
  </si>
  <si>
    <t>67※2</t>
  </si>
  <si>
    <t>(6)</t>
  </si>
  <si>
    <t>固形消化残渣（脱水ケーキ）</t>
  </si>
  <si>
    <t>(3)</t>
  </si>
  <si>
    <t>メタン発酵槽底部堆積物</t>
  </si>
  <si>
    <t>(4)</t>
  </si>
  <si>
    <t>表2　メタン発酵消化液の養分含有量</t>
  </si>
  <si>
    <t>N（g/L）</t>
  </si>
  <si>
    <t>P（g/L）</t>
  </si>
  <si>
    <t>K（g/L）</t>
  </si>
  <si>
    <t>Ca（g/L）</t>
  </si>
  <si>
    <t>Mg（g/L）</t>
  </si>
  <si>
    <t>メタン発酵消化液（乳牛ふん尿主体、一部野菜残渣）</t>
  </si>
  <si>
    <t>(7)</t>
  </si>
  <si>
    <t>注記</t>
  </si>
  <si>
    <t>・固形資材のN、P、K、Ca、Mgは、原物重量1 kg当たりの含有量を基本とした。
文献値が乾物基準の場合には、同一試料の水分含有率から「原物値＝乾物値×（1－水分率/100）」として換算した。</t>
  </si>
  <si>
    <t>・P、K、Ca、MgがP2O5、K2O、CaO、MgOとして示されている場合は元素重量へ換算した。
P＝P2O5×0.4364、K＝K2O×0.8301、Ca＝CaO×0.7147、Mg＝MgO×0.6030。</t>
  </si>
  <si>
    <t>・C/N比は文献記載値、または同一試料の全炭素（C）と全窒素（N）から算出した。</t>
  </si>
  <si>
    <t>・※1 もみ殻炭は、九州地域で市販されている農業用もみ殻炭の平均肥料成分を採用した。原資料には水分およびC/N比の記載がなく、成分値についても乾物・原物基準の明示を確認できないため、この行のみ他の原物基準値と厳密には直接比較できない。</t>
  </si>
  <si>
    <t>・※2 木質燃焼灰のC/N比67は原資料に記載された値である。ただし、燃焼灰ではNが非常に少なく、堆肥・消化残渣などの有機質資材のC/N比と同じ意味では比較できない。</t>
  </si>
  <si>
    <t>・各値は資材一般の固定値ではなく、採用文献における平均値または特定事例の値である。原料、製造・処理方法、炭化温度、燃焼条件等によって組成は変動する。</t>
  </si>
  <si>
    <t>吉橋泰彦（2025）「千葉県内で生産される家畜ふん堆肥の特性」『千葉県農林総合研究センター研究報告』17：34–42．doi:10.82686/cafrc.2025.17_34.</t>
  </si>
  <si>
    <t>山口典子・井原啓貴（2026）『下水汚泥資源の活用の取組と肥効見える化アプリについて』中国四国地域国内肥料資源利用拡大ネットワーク勉強会資料，農研機構，2026年2月3日.</t>
  </si>
  <si>
    <t>中村真人（2011）「メタン発酵消化液の液肥利用とその環境影響に関する研究」『農村工学研究所報告』50：1–57.</t>
  </si>
  <si>
    <t>中村真人・山岡賢・相原秀基・柚山義人・折立文子（2014）「メタン発酵槽内に蓄積する物質の成分的特徴」『農村工学研究所技報』215：31–37.</t>
  </si>
  <si>
    <t>脱炭素に向けた農林業環境研究コンソーシアム編（2025）『バイオ炭の農業利用事例とその活用ガイドブック』.</t>
  </si>
  <si>
    <t>折橋健・山田敦・高橋徹・田代直明・古賀信也（2011）「木質バイオマス燃焼灰の林地還元に向けた基礎知見―カラマツペレット燃焼灰を用いた検討―」『九州大学農学部演習林報告』92：13–18.</t>
  </si>
  <si>
    <t>農業・食品産業技術総合研究機構農村工学研究所（2012）『メタン発酵消化液の畑地における液肥利用―肥料効果と環境への影響―』農業・食品産業技術総合研究機構農村工学研究所.</t>
  </si>
  <si>
    <t>元データ・換算確認</t>
  </si>
  <si>
    <t>基準</t>
  </si>
  <si>
    <t>乾物率</t>
  </si>
  <si>
    <t>C（%またはg/L）</t>
  </si>
  <si>
    <t>N 原文値</t>
  </si>
  <si>
    <t>P 原文値</t>
  </si>
  <si>
    <t>K 原文値</t>
  </si>
  <si>
    <t>Ca 原文値</t>
  </si>
  <si>
    <t>Mg 原文値</t>
  </si>
  <si>
    <t>P等の原文表記</t>
  </si>
  <si>
    <t>N 換算後</t>
  </si>
  <si>
    <t>P 換算後</t>
  </si>
  <si>
    <t>K 換算後</t>
  </si>
  <si>
    <t>Ca 換算後</t>
  </si>
  <si>
    <t>Mg 換算後</t>
  </si>
  <si>
    <t>補足</t>
  </si>
  <si>
    <t>乾物→原物</t>
  </si>
  <si>
    <t>N, P2O5, K2O, CaO, MgO（%DM）</t>
  </si>
  <si>
    <t>2013-2023年、牛ふん堆肥140点の平均値。</t>
  </si>
  <si>
    <t>原物</t>
  </si>
  <si>
    <t>TN, TC, P2O5, K2O, CaO, MgO（%現物）</t>
  </si>
  <si>
    <t>実際の施用量計算に用いられている値。</t>
  </si>
  <si>
    <t>C, N, P, K, Ca, Mg（%DM、元素）</t>
  </si>
  <si>
    <t>山田バイオマスプラントの脱水ケーキ。</t>
  </si>
  <si>
    <t>発酵槽底部に蓄積し、維持管理上除去が必要となる堆積物。</t>
  </si>
  <si>
    <t>基準不明</t>
  </si>
  <si>
    <t>N, P2O5, K2O, CaO, MgO（%）</t>
  </si>
  <si>
    <t>水分とC/N比の記載なし。成分値の乾物・原物基準も明示なし。</t>
  </si>
  <si>
    <t>N, P, K, Ca, Mg（%DM、元素）</t>
  </si>
  <si>
    <t>C/N比67は原資料値。ただし有機質資材と同じ意味では比較しにくい。</t>
  </si>
  <si>
    <t>メタン発酵消化液</t>
  </si>
  <si>
    <t>原液</t>
  </si>
  <si>
    <t>N, Cはmg/L、P2O5とK2Oはmg/L</t>
  </si>
  <si>
    <t>C/N比は9600/3400。</t>
  </si>
  <si>
    <t>換算係数</t>
  </si>
  <si>
    <t>係数</t>
  </si>
  <si>
    <t>用途</t>
  </si>
  <si>
    <t>P2O5→P</t>
  </si>
  <si>
    <t>リン酸から元素Pへ換算</t>
  </si>
  <si>
    <t>K2O→K</t>
  </si>
  <si>
    <t>加里から元素Kへ換算</t>
  </si>
  <si>
    <t>CaO→Ca</t>
  </si>
  <si>
    <t>石灰から元素Caへ換算</t>
  </si>
  <si>
    <t>MgO→Mg</t>
  </si>
  <si>
    <t>苦土から元素Mgへ換算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</si>
</sst>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4"/>
      <color rgb="FF0B426F"/>
      <name val="Carlito"/>
    </font>
    <font>
      <b/>
      <sz val="11"/>
      <color rgb="FF1F4E79"/>
      <name val="Carlito"/>
    </font>
    <font>
      <sz val="10"/>
      <color rgb="FF333333"/>
      <name val="Yu Gothic"/>
      <family val="3"/>
      <charset val="128"/>
    </font>
    <font>
      <sz val="11"/>
      <name val="Yu Gothic"/>
      <family val="3"/>
      <charset val="128"/>
    </font>
    <font>
      <sz val="9"/>
      <name val="Yu Gothic"/>
      <family val="3"/>
      <charset val="128"/>
    </font>
    <font>
      <b/>
      <sz val="9"/>
      <color rgb="FF1F4E79"/>
      <name val="Yu Gothic"/>
      <family val="3"/>
      <charset val="128"/>
    </font>
    <font>
      <sz val="11"/>
      <name val="Carlito"/>
    </font>
    <font>
      <sz val="6"/>
      <name val="ＭＳ Ｐゴシック"/>
      <family val="3"/>
      <charset val="128"/>
    </font>
    <font>
      <b/>
      <sz val="14"/>
      <name val="Yu Gothic"/>
      <family val="3"/>
      <charset val="128"/>
    </font>
    <font>
      <b/>
      <sz val="11"/>
      <name val="Yu Gothic"/>
      <family val="3"/>
      <charset val="128"/>
    </font>
    <font>
      <b/>
      <sz val="9"/>
      <name val="Yu Gothic"/>
      <family val="3"/>
      <charset val="128"/>
    </font>
  </fonts>
  <fills count="4">
    <fill>
      <patternFill patternType="none"/>
    </fill>
    <fill>
      <patternFill patternType="gray125"/>
    </fill>
    <fill>
      <patternFill patternType="solid">
        <fgColor rgb="FFEAF3F8"/>
      </patternFill>
    </fill>
    <fill>
      <patternFill patternType="solid">
        <fgColor rgb="FFD9EAF7"/>
      </patternFill>
    </fill>
  </fills>
  <borders count="2">
    <border>
      <left/>
      <right/>
      <top/>
      <bottom/>
      <diagonal/>
    </border>
    <border>
      <left style="thin">
        <color rgb="FFC8D0DA"/>
      </left>
      <right style="thin">
        <color rgb="FFC8D0DA"/>
      </right>
      <top style="thin">
        <color rgb="FFC8D0DA"/>
      </top>
      <bottom style="thin">
        <color rgb="FFC8D0DA"/>
      </bottom>
      <diagonal/>
    </border>
  </borders>
  <cellStyleXfs count="2">
    <xf numFmtId="0" fontId="0" fillId="0" borderId="0"/>
    <xf numFmtId="0" fontId="7" fillId="0" borderId="0"/>
  </cellStyleXfs>
  <cellXfs count="19">
    <xf numFmtId="0" fontId="0" fillId="0" borderId="0" xfId="0"/>
    <xf numFmtId="0" fontId="2" fillId="3" borderId="1" xfId="1" applyFont="1" applyFill="1" applyBorder="1" applyAlignment="1">
      <alignment horizontal="center" vertical="center" wrapText="1"/>
    </xf>
    <xf numFmtId="0" fontId="0" fillId="0" borderId="1" xfId="1" applyFont="1" applyBorder="1" applyAlignment="1">
      <alignment vertical="center" wrapText="1"/>
    </xf>
    <xf numFmtId="0" fontId="4" fillId="0" borderId="0" xfId="1" applyFont="1"/>
    <xf numFmtId="0" fontId="5" fillId="0" borderId="0" xfId="1" applyFont="1" applyAlignment="1">
      <alignment wrapText="1"/>
    </xf>
    <xf numFmtId="2" fontId="4" fillId="0" borderId="1" xfId="1" applyNumberFormat="1" applyFont="1" applyBorder="1" applyAlignment="1">
      <alignment horizontal="left" vertical="center" wrapText="1"/>
    </xf>
    <xf numFmtId="2" fontId="4" fillId="0" borderId="1" xfId="1" applyNumberFormat="1" applyFont="1" applyBorder="1" applyAlignment="1">
      <alignment horizontal="center" vertical="center" wrapText="1"/>
    </xf>
    <xf numFmtId="2" fontId="4" fillId="0" borderId="0" xfId="1" applyNumberFormat="1" applyFont="1" applyAlignment="1">
      <alignment horizontal="center"/>
    </xf>
    <xf numFmtId="0" fontId="6" fillId="3" borderId="1" xfId="1" applyFont="1" applyFill="1" applyBorder="1" applyAlignment="1">
      <alignment horizontal="center" vertical="center" wrapText="1"/>
    </xf>
    <xf numFmtId="0" fontId="5" fillId="0" borderId="1" xfId="1" applyFont="1" applyBorder="1" applyAlignment="1">
      <alignment vertical="center" wrapText="1"/>
    </xf>
    <xf numFmtId="2" fontId="5" fillId="0" borderId="1" xfId="1" applyNumberFormat="1" applyFont="1" applyBorder="1" applyAlignment="1">
      <alignment vertical="center" wrapText="1"/>
    </xf>
    <xf numFmtId="0" fontId="3" fillId="0" borderId="0" xfId="1" applyFont="1" applyAlignment="1">
      <alignment wrapText="1"/>
    </xf>
    <xf numFmtId="0" fontId="5" fillId="0" borderId="0" xfId="1" applyFont="1" applyAlignment="1">
      <alignment wrapText="1"/>
    </xf>
    <xf numFmtId="0" fontId="1" fillId="2" borderId="0" xfId="1" applyFont="1" applyFill="1" applyAlignment="1">
      <alignment horizontal="left" vertical="center" wrapText="1"/>
    </xf>
    <xf numFmtId="0" fontId="10" fillId="0" borderId="0" xfId="1" applyFont="1"/>
    <xf numFmtId="2" fontId="10" fillId="0" borderId="0" xfId="1" applyNumberFormat="1" applyFont="1" applyAlignment="1">
      <alignment horizontal="center"/>
    </xf>
    <xf numFmtId="2" fontId="10" fillId="0" borderId="1" xfId="1" applyNumberFormat="1" applyFont="1" applyFill="1" applyBorder="1" applyAlignment="1">
      <alignment horizontal="center" vertical="center" wrapText="1"/>
    </xf>
    <xf numFmtId="0" fontId="11" fillId="0" borderId="0" xfId="1" applyFont="1" applyAlignment="1">
      <alignment wrapText="1"/>
    </xf>
    <xf numFmtId="0" fontId="9" fillId="0" borderId="0" xfId="1" applyFont="1" applyFill="1" applyAlignment="1">
      <alignment horizontal="left" vertical="center"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showGridLines="0" tabSelected="1" workbookViewId="0">
      <selection activeCell="B3" sqref="B3"/>
    </sheetView>
  </sheetViews>
  <sheetFormatPr defaultRowHeight="14"/>
  <cols>
    <col min="1" max="1" width="32" customWidth="1"/>
    <col min="2" max="2" width="11" customWidth="1"/>
    <col min="3" max="3" width="10" customWidth="1"/>
    <col min="4" max="8" width="11" customWidth="1"/>
    <col min="9" max="9" width="8" customWidth="1"/>
  </cols>
  <sheetData>
    <row r="1" spans="1:9">
      <c r="A1" s="18" t="s">
        <v>0</v>
      </c>
      <c r="B1" s="18" t="s">
        <v>0</v>
      </c>
      <c r="C1" s="18" t="s">
        <v>0</v>
      </c>
      <c r="D1" s="18" t="s">
        <v>0</v>
      </c>
      <c r="E1" s="18" t="s">
        <v>0</v>
      </c>
      <c r="F1" s="18" t="s">
        <v>0</v>
      </c>
      <c r="G1" s="18" t="s">
        <v>0</v>
      </c>
      <c r="H1" s="18" t="s">
        <v>0</v>
      </c>
      <c r="I1" s="18" t="s">
        <v>0</v>
      </c>
    </row>
    <row r="2" spans="1:9" ht="16">
      <c r="A2" s="11" t="s">
        <v>1</v>
      </c>
      <c r="B2" s="11" t="s">
        <v>1</v>
      </c>
      <c r="C2" s="11" t="s">
        <v>1</v>
      </c>
      <c r="D2" s="11" t="s">
        <v>1</v>
      </c>
      <c r="E2" s="11" t="s">
        <v>1</v>
      </c>
      <c r="F2" s="11" t="s">
        <v>1</v>
      </c>
      <c r="G2" s="11" t="s">
        <v>1</v>
      </c>
      <c r="H2" s="11" t="s">
        <v>1</v>
      </c>
      <c r="I2" s="11" t="s">
        <v>1</v>
      </c>
    </row>
    <row r="3" spans="1:9" ht="18">
      <c r="A3" s="3"/>
      <c r="B3" s="3"/>
      <c r="C3" s="3"/>
      <c r="D3" s="3"/>
      <c r="E3" s="3"/>
      <c r="F3" s="3"/>
      <c r="G3" s="3"/>
      <c r="H3" s="3"/>
      <c r="I3" s="3"/>
    </row>
    <row r="4" spans="1:9" ht="18">
      <c r="A4" s="14" t="s">
        <v>2</v>
      </c>
      <c r="B4" s="14" t="s">
        <v>2</v>
      </c>
      <c r="C4" s="14" t="s">
        <v>2</v>
      </c>
      <c r="D4" s="14" t="s">
        <v>2</v>
      </c>
      <c r="E4" s="14" t="s">
        <v>2</v>
      </c>
      <c r="F4" s="14" t="s">
        <v>2</v>
      </c>
      <c r="G4" s="14" t="s">
        <v>2</v>
      </c>
      <c r="H4" s="14" t="s">
        <v>2</v>
      </c>
      <c r="I4" s="14" t="s">
        <v>2</v>
      </c>
    </row>
    <row r="5" spans="1:9" ht="36">
      <c r="A5" s="16" t="s">
        <v>3</v>
      </c>
      <c r="B5" s="16" t="s">
        <v>4</v>
      </c>
      <c r="C5" s="16" t="s">
        <v>5</v>
      </c>
      <c r="D5" s="16" t="s">
        <v>6</v>
      </c>
      <c r="E5" s="16" t="s">
        <v>7</v>
      </c>
      <c r="F5" s="16" t="s">
        <v>8</v>
      </c>
      <c r="G5" s="16" t="s">
        <v>9</v>
      </c>
      <c r="H5" s="16" t="s">
        <v>10</v>
      </c>
      <c r="I5" s="16" t="s">
        <v>11</v>
      </c>
    </row>
    <row r="6" spans="1:9" ht="18">
      <c r="A6" s="5" t="s">
        <v>12</v>
      </c>
      <c r="B6" s="6">
        <v>39.200000000000003</v>
      </c>
      <c r="C6" s="6">
        <v>11.9</v>
      </c>
      <c r="D6" s="6">
        <v>13.4</v>
      </c>
      <c r="E6" s="6">
        <v>6.37</v>
      </c>
      <c r="F6" s="6">
        <v>17.7</v>
      </c>
      <c r="G6" s="6">
        <v>15.2</v>
      </c>
      <c r="H6" s="6">
        <v>5.87</v>
      </c>
      <c r="I6" s="6" t="s">
        <v>13</v>
      </c>
    </row>
    <row r="7" spans="1:9" ht="36">
      <c r="A7" s="5" t="s">
        <v>14</v>
      </c>
      <c r="B7" s="6">
        <v>25.6</v>
      </c>
      <c r="C7" s="6">
        <v>7.3</v>
      </c>
      <c r="D7" s="6">
        <v>18.399999999999999</v>
      </c>
      <c r="E7" s="6">
        <v>19.8</v>
      </c>
      <c r="F7" s="6">
        <v>1.58</v>
      </c>
      <c r="G7" s="6">
        <v>125</v>
      </c>
      <c r="H7" s="6">
        <v>3.32</v>
      </c>
      <c r="I7" s="6" t="s">
        <v>15</v>
      </c>
    </row>
    <row r="8" spans="1:9" ht="18">
      <c r="A8" s="5" t="s">
        <v>16</v>
      </c>
      <c r="B8" s="6" t="s">
        <v>17</v>
      </c>
      <c r="C8" s="6" t="s">
        <v>17</v>
      </c>
      <c r="D8" s="6" t="s">
        <v>18</v>
      </c>
      <c r="E8" s="6" t="s">
        <v>19</v>
      </c>
      <c r="F8" s="6" t="s">
        <v>20</v>
      </c>
      <c r="G8" s="6" t="s">
        <v>21</v>
      </c>
      <c r="H8" s="6" t="s">
        <v>22</v>
      </c>
      <c r="I8" s="6" t="s">
        <v>23</v>
      </c>
    </row>
    <row r="9" spans="1:9" ht="18">
      <c r="A9" s="5" t="s">
        <v>24</v>
      </c>
      <c r="B9" s="6">
        <v>1.7</v>
      </c>
      <c r="C9" s="6" t="s">
        <v>25</v>
      </c>
      <c r="D9" s="6">
        <v>0.69</v>
      </c>
      <c r="E9" s="6">
        <v>24.6</v>
      </c>
      <c r="F9" s="6">
        <v>138</v>
      </c>
      <c r="G9" s="6">
        <v>167</v>
      </c>
      <c r="H9" s="6">
        <v>38.299999999999997</v>
      </c>
      <c r="I9" s="6" t="s">
        <v>26</v>
      </c>
    </row>
    <row r="10" spans="1:9" ht="18">
      <c r="A10" s="5" t="s">
        <v>27</v>
      </c>
      <c r="B10" s="6">
        <v>78.099999999999994</v>
      </c>
      <c r="C10" s="6">
        <v>8.3000000000000007</v>
      </c>
      <c r="D10" s="6">
        <v>10.1</v>
      </c>
      <c r="E10" s="6">
        <v>5.04</v>
      </c>
      <c r="F10" s="6">
        <v>2.19</v>
      </c>
      <c r="G10" s="6">
        <v>9.64</v>
      </c>
      <c r="H10" s="6">
        <v>2.85</v>
      </c>
      <c r="I10" s="6" t="s">
        <v>28</v>
      </c>
    </row>
    <row r="11" spans="1:9" ht="18">
      <c r="A11" s="5" t="s">
        <v>29</v>
      </c>
      <c r="B11" s="6">
        <v>54.9</v>
      </c>
      <c r="C11" s="6">
        <v>5.2</v>
      </c>
      <c r="D11" s="6">
        <v>8.25</v>
      </c>
      <c r="E11" s="6">
        <v>21.8</v>
      </c>
      <c r="F11" s="6">
        <v>1.73</v>
      </c>
      <c r="G11" s="6">
        <v>25.5</v>
      </c>
      <c r="H11" s="6">
        <v>14.7</v>
      </c>
      <c r="I11" s="6" t="s">
        <v>30</v>
      </c>
    </row>
    <row r="12" spans="1:9" ht="18">
      <c r="A12" s="7"/>
      <c r="B12" s="7"/>
      <c r="C12" s="7"/>
      <c r="D12" s="7"/>
      <c r="E12" s="7"/>
      <c r="F12" s="7"/>
      <c r="G12" s="7"/>
      <c r="H12" s="7"/>
      <c r="I12" s="7"/>
    </row>
    <row r="13" spans="1:9" ht="18">
      <c r="A13" s="15" t="s">
        <v>31</v>
      </c>
      <c r="B13" s="15" t="s">
        <v>31</v>
      </c>
      <c r="C13" s="15" t="s">
        <v>31</v>
      </c>
      <c r="D13" s="15" t="s">
        <v>31</v>
      </c>
      <c r="E13" s="15" t="s">
        <v>31</v>
      </c>
      <c r="F13" s="15" t="s">
        <v>31</v>
      </c>
      <c r="G13" s="15" t="s">
        <v>31</v>
      </c>
      <c r="H13" s="15" t="s">
        <v>31</v>
      </c>
      <c r="I13" s="15" t="s">
        <v>31</v>
      </c>
    </row>
    <row r="14" spans="1:9" ht="18">
      <c r="A14" s="16" t="s">
        <v>3</v>
      </c>
      <c r="B14" s="16" t="s">
        <v>4</v>
      </c>
      <c r="C14" s="16" t="s">
        <v>5</v>
      </c>
      <c r="D14" s="16" t="s">
        <v>32</v>
      </c>
      <c r="E14" s="16" t="s">
        <v>33</v>
      </c>
      <c r="F14" s="16" t="s">
        <v>34</v>
      </c>
      <c r="G14" s="16" t="s">
        <v>35</v>
      </c>
      <c r="H14" s="16" t="s">
        <v>36</v>
      </c>
      <c r="I14" s="16" t="s">
        <v>11</v>
      </c>
    </row>
    <row r="15" spans="1:9" ht="36">
      <c r="A15" s="5" t="s">
        <v>37</v>
      </c>
      <c r="B15" s="6">
        <v>95.8</v>
      </c>
      <c r="C15" s="6">
        <v>2.8</v>
      </c>
      <c r="D15" s="6">
        <v>3.4</v>
      </c>
      <c r="E15" s="6">
        <v>0.52400000000000002</v>
      </c>
      <c r="F15" s="6">
        <v>3.24</v>
      </c>
      <c r="G15" s="6" t="s">
        <v>17</v>
      </c>
      <c r="H15" s="6" t="s">
        <v>17</v>
      </c>
      <c r="I15" s="6" t="s">
        <v>38</v>
      </c>
    </row>
    <row r="16" spans="1:9" ht="18">
      <c r="A16" s="3"/>
      <c r="B16" s="3"/>
      <c r="C16" s="3"/>
      <c r="D16" s="3"/>
      <c r="E16" s="3"/>
      <c r="F16" s="3"/>
      <c r="G16" s="3"/>
      <c r="H16" s="3"/>
      <c r="I16" s="3"/>
    </row>
    <row r="17" spans="1:9" ht="18">
      <c r="A17" s="14" t="s">
        <v>39</v>
      </c>
      <c r="B17" s="14" t="s">
        <v>39</v>
      </c>
      <c r="C17" s="14" t="s">
        <v>39</v>
      </c>
      <c r="D17" s="14" t="s">
        <v>39</v>
      </c>
      <c r="E17" s="14" t="s">
        <v>39</v>
      </c>
      <c r="F17" s="14" t="s">
        <v>39</v>
      </c>
      <c r="G17" s="14" t="s">
        <v>39</v>
      </c>
      <c r="H17" s="14" t="s">
        <v>39</v>
      </c>
      <c r="I17" s="14" t="s">
        <v>39</v>
      </c>
    </row>
    <row r="18" spans="1:9" ht="42" customHeight="1">
      <c r="A18" s="12" t="s">
        <v>40</v>
      </c>
      <c r="B18" s="12" t="s">
        <v>40</v>
      </c>
      <c r="C18" s="12" t="s">
        <v>40</v>
      </c>
      <c r="D18" s="12" t="s">
        <v>40</v>
      </c>
      <c r="E18" s="12" t="s">
        <v>40</v>
      </c>
      <c r="F18" s="12" t="s">
        <v>40</v>
      </c>
      <c r="G18" s="12" t="s">
        <v>40</v>
      </c>
      <c r="H18" s="12" t="s">
        <v>40</v>
      </c>
      <c r="I18" s="12" t="s">
        <v>40</v>
      </c>
    </row>
    <row r="19" spans="1:9" ht="42" customHeight="1">
      <c r="A19" s="12" t="s">
        <v>41</v>
      </c>
      <c r="B19" s="12" t="s">
        <v>41</v>
      </c>
      <c r="C19" s="12" t="s">
        <v>41</v>
      </c>
      <c r="D19" s="12" t="s">
        <v>41</v>
      </c>
      <c r="E19" s="12" t="s">
        <v>41</v>
      </c>
      <c r="F19" s="12" t="s">
        <v>41</v>
      </c>
      <c r="G19" s="12" t="s">
        <v>41</v>
      </c>
      <c r="H19" s="12" t="s">
        <v>41</v>
      </c>
      <c r="I19" s="12" t="s">
        <v>41</v>
      </c>
    </row>
    <row r="20" spans="1:9" ht="34" customHeight="1">
      <c r="A20" s="12" t="s">
        <v>42</v>
      </c>
      <c r="B20" s="12" t="s">
        <v>42</v>
      </c>
      <c r="C20" s="12" t="s">
        <v>42</v>
      </c>
      <c r="D20" s="12" t="s">
        <v>42</v>
      </c>
      <c r="E20" s="12" t="s">
        <v>42</v>
      </c>
      <c r="F20" s="12" t="s">
        <v>42</v>
      </c>
      <c r="G20" s="12" t="s">
        <v>42</v>
      </c>
      <c r="H20" s="12" t="s">
        <v>42</v>
      </c>
      <c r="I20" s="12" t="s">
        <v>42</v>
      </c>
    </row>
    <row r="21" spans="1:9" ht="34" customHeight="1">
      <c r="A21" s="12" t="s">
        <v>43</v>
      </c>
      <c r="B21" s="12" t="s">
        <v>43</v>
      </c>
      <c r="C21" s="12" t="s">
        <v>43</v>
      </c>
      <c r="D21" s="12" t="s">
        <v>43</v>
      </c>
      <c r="E21" s="12" t="s">
        <v>43</v>
      </c>
      <c r="F21" s="12" t="s">
        <v>43</v>
      </c>
      <c r="G21" s="12" t="s">
        <v>43</v>
      </c>
      <c r="H21" s="12" t="s">
        <v>43</v>
      </c>
      <c r="I21" s="12" t="s">
        <v>43</v>
      </c>
    </row>
    <row r="22" spans="1:9" ht="34" customHeight="1">
      <c r="A22" s="12" t="s">
        <v>44</v>
      </c>
      <c r="B22" s="12" t="s">
        <v>44</v>
      </c>
      <c r="C22" s="12" t="s">
        <v>44</v>
      </c>
      <c r="D22" s="12" t="s">
        <v>44</v>
      </c>
      <c r="E22" s="12" t="s">
        <v>44</v>
      </c>
      <c r="F22" s="12" t="s">
        <v>44</v>
      </c>
      <c r="G22" s="12" t="s">
        <v>44</v>
      </c>
      <c r="H22" s="12" t="s">
        <v>44</v>
      </c>
      <c r="I22" s="12" t="s">
        <v>44</v>
      </c>
    </row>
    <row r="23" spans="1:9" ht="34" customHeight="1">
      <c r="A23" s="12" t="s">
        <v>45</v>
      </c>
      <c r="B23" s="12" t="s">
        <v>45</v>
      </c>
      <c r="C23" s="12" t="s">
        <v>45</v>
      </c>
      <c r="D23" s="12" t="s">
        <v>45</v>
      </c>
      <c r="E23" s="12" t="s">
        <v>45</v>
      </c>
      <c r="F23" s="12" t="s">
        <v>45</v>
      </c>
      <c r="G23" s="12" t="s">
        <v>45</v>
      </c>
      <c r="H23" s="12" t="s">
        <v>45</v>
      </c>
      <c r="I23" s="12" t="s">
        <v>45</v>
      </c>
    </row>
    <row r="24" spans="1:9" ht="15.5">
      <c r="A24" s="4"/>
      <c r="B24" s="4"/>
      <c r="C24" s="4"/>
      <c r="D24" s="4"/>
      <c r="E24" s="4"/>
      <c r="F24" s="4"/>
      <c r="G24" s="4"/>
      <c r="H24" s="4"/>
      <c r="I24" s="4"/>
    </row>
    <row r="25" spans="1:9" ht="15.5">
      <c r="A25" s="17" t="s">
        <v>11</v>
      </c>
      <c r="B25" s="17" t="s">
        <v>11</v>
      </c>
      <c r="C25" s="17" t="s">
        <v>11</v>
      </c>
      <c r="D25" s="17" t="s">
        <v>11</v>
      </c>
      <c r="E25" s="17" t="s">
        <v>11</v>
      </c>
      <c r="F25" s="17" t="s">
        <v>11</v>
      </c>
      <c r="G25" s="17" t="s">
        <v>11</v>
      </c>
      <c r="H25" s="17" t="s">
        <v>11</v>
      </c>
      <c r="I25" s="17" t="s">
        <v>11</v>
      </c>
    </row>
    <row r="26" spans="1:9" ht="34" customHeight="1">
      <c r="A26" s="4" t="s">
        <v>13</v>
      </c>
      <c r="B26" s="12" t="s">
        <v>46</v>
      </c>
      <c r="C26" s="12" t="s">
        <v>46</v>
      </c>
      <c r="D26" s="12" t="s">
        <v>46</v>
      </c>
      <c r="E26" s="12" t="s">
        <v>46</v>
      </c>
      <c r="F26" s="12" t="s">
        <v>46</v>
      </c>
      <c r="G26" s="12" t="s">
        <v>46</v>
      </c>
      <c r="H26" s="12" t="s">
        <v>46</v>
      </c>
      <c r="I26" s="12" t="s">
        <v>46</v>
      </c>
    </row>
    <row r="27" spans="1:9" ht="34" customHeight="1">
      <c r="A27" s="4" t="s">
        <v>15</v>
      </c>
      <c r="B27" s="12" t="s">
        <v>47</v>
      </c>
      <c r="C27" s="12" t="s">
        <v>47</v>
      </c>
      <c r="D27" s="12" t="s">
        <v>47</v>
      </c>
      <c r="E27" s="12" t="s">
        <v>47</v>
      </c>
      <c r="F27" s="12" t="s">
        <v>47</v>
      </c>
      <c r="G27" s="12" t="s">
        <v>47</v>
      </c>
      <c r="H27" s="12" t="s">
        <v>47</v>
      </c>
      <c r="I27" s="12" t="s">
        <v>47</v>
      </c>
    </row>
    <row r="28" spans="1:9" ht="34" customHeight="1">
      <c r="A28" s="4" t="s">
        <v>28</v>
      </c>
      <c r="B28" s="12" t="s">
        <v>48</v>
      </c>
      <c r="C28" s="12" t="s">
        <v>48</v>
      </c>
      <c r="D28" s="12" t="s">
        <v>48</v>
      </c>
      <c r="E28" s="12" t="s">
        <v>48</v>
      </c>
      <c r="F28" s="12" t="s">
        <v>48</v>
      </c>
      <c r="G28" s="12" t="s">
        <v>48</v>
      </c>
      <c r="H28" s="12" t="s">
        <v>48</v>
      </c>
      <c r="I28" s="12" t="s">
        <v>48</v>
      </c>
    </row>
    <row r="29" spans="1:9" ht="34" customHeight="1">
      <c r="A29" s="4" t="s">
        <v>30</v>
      </c>
      <c r="B29" s="12" t="s">
        <v>49</v>
      </c>
      <c r="C29" s="12" t="s">
        <v>49</v>
      </c>
      <c r="D29" s="12" t="s">
        <v>49</v>
      </c>
      <c r="E29" s="12" t="s">
        <v>49</v>
      </c>
      <c r="F29" s="12" t="s">
        <v>49</v>
      </c>
      <c r="G29" s="12" t="s">
        <v>49</v>
      </c>
      <c r="H29" s="12" t="s">
        <v>49</v>
      </c>
      <c r="I29" s="12" t="s">
        <v>49</v>
      </c>
    </row>
    <row r="30" spans="1:9" ht="34" customHeight="1">
      <c r="A30" s="4" t="s">
        <v>23</v>
      </c>
      <c r="B30" s="12" t="s">
        <v>50</v>
      </c>
      <c r="C30" s="12" t="s">
        <v>50</v>
      </c>
      <c r="D30" s="12" t="s">
        <v>50</v>
      </c>
      <c r="E30" s="12" t="s">
        <v>50</v>
      </c>
      <c r="F30" s="12" t="s">
        <v>50</v>
      </c>
      <c r="G30" s="12" t="s">
        <v>50</v>
      </c>
      <c r="H30" s="12" t="s">
        <v>50</v>
      </c>
      <c r="I30" s="12" t="s">
        <v>50</v>
      </c>
    </row>
    <row r="31" spans="1:9" ht="34" customHeight="1">
      <c r="A31" s="4" t="s">
        <v>26</v>
      </c>
      <c r="B31" s="12" t="s">
        <v>51</v>
      </c>
      <c r="C31" s="12" t="s">
        <v>51</v>
      </c>
      <c r="D31" s="12" t="s">
        <v>51</v>
      </c>
      <c r="E31" s="12" t="s">
        <v>51</v>
      </c>
      <c r="F31" s="12" t="s">
        <v>51</v>
      </c>
      <c r="G31" s="12" t="s">
        <v>51</v>
      </c>
      <c r="H31" s="12" t="s">
        <v>51</v>
      </c>
      <c r="I31" s="12" t="s">
        <v>51</v>
      </c>
    </row>
    <row r="32" spans="1:9" ht="34" customHeight="1">
      <c r="A32" s="4" t="s">
        <v>38</v>
      </c>
      <c r="B32" s="12" t="s">
        <v>52</v>
      </c>
      <c r="C32" s="12" t="s">
        <v>52</v>
      </c>
      <c r="D32" s="12" t="s">
        <v>52</v>
      </c>
      <c r="E32" s="12" t="s">
        <v>52</v>
      </c>
      <c r="F32" s="12" t="s">
        <v>52</v>
      </c>
      <c r="G32" s="12" t="s">
        <v>52</v>
      </c>
      <c r="H32" s="12" t="s">
        <v>52</v>
      </c>
      <c r="I32" s="12" t="s">
        <v>52</v>
      </c>
    </row>
  </sheetData>
  <mergeCells count="19">
    <mergeCell ref="B29:I29"/>
    <mergeCell ref="B30:I30"/>
    <mergeCell ref="B31:I31"/>
    <mergeCell ref="B32:I32"/>
    <mergeCell ref="A23:I23"/>
    <mergeCell ref="A25:I25"/>
    <mergeCell ref="B26:I26"/>
    <mergeCell ref="B27:I27"/>
    <mergeCell ref="B28:I28"/>
    <mergeCell ref="A18:I18"/>
    <mergeCell ref="A19:I19"/>
    <mergeCell ref="A20:I20"/>
    <mergeCell ref="A21:I21"/>
    <mergeCell ref="A22:I22"/>
    <mergeCell ref="A1:I1"/>
    <mergeCell ref="A2:I2"/>
    <mergeCell ref="A4:I4"/>
    <mergeCell ref="A13:I13"/>
    <mergeCell ref="A17:I17"/>
  </mergeCells>
  <phoneticPr fontI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6"/>
  <sheetViews>
    <sheetView showGridLines="0" workbookViewId="0"/>
  </sheetViews>
  <sheetFormatPr defaultRowHeight="14"/>
  <cols>
    <col min="1" max="1" width="34" customWidth="1"/>
    <col min="2" max="2" width="8" customWidth="1"/>
    <col min="3" max="3" width="13" customWidth="1"/>
    <col min="4" max="17" width="12" customWidth="1"/>
    <col min="18" max="18" width="42" customWidth="1"/>
  </cols>
  <sheetData>
    <row r="1" spans="1:18">
      <c r="A1" s="13" t="s">
        <v>53</v>
      </c>
      <c r="B1" s="13" t="s">
        <v>53</v>
      </c>
      <c r="C1" s="13" t="s">
        <v>53</v>
      </c>
      <c r="D1" s="13" t="s">
        <v>53</v>
      </c>
      <c r="E1" s="13" t="s">
        <v>53</v>
      </c>
      <c r="F1" s="13" t="s">
        <v>53</v>
      </c>
      <c r="G1" s="13" t="s">
        <v>53</v>
      </c>
      <c r="H1" s="13" t="s">
        <v>53</v>
      </c>
      <c r="I1" s="13" t="s">
        <v>53</v>
      </c>
      <c r="J1" s="13" t="s">
        <v>53</v>
      </c>
      <c r="K1" s="13" t="s">
        <v>53</v>
      </c>
      <c r="L1" s="13" t="s">
        <v>53</v>
      </c>
      <c r="M1" s="13" t="s">
        <v>53</v>
      </c>
      <c r="N1" s="13" t="s">
        <v>53</v>
      </c>
      <c r="O1" s="13" t="s">
        <v>53</v>
      </c>
      <c r="P1" s="13" t="s">
        <v>53</v>
      </c>
      <c r="Q1" s="13" t="s">
        <v>53</v>
      </c>
      <c r="R1" s="13" t="s">
        <v>53</v>
      </c>
    </row>
    <row r="3" spans="1:18" ht="30">
      <c r="A3" s="8" t="s">
        <v>3</v>
      </c>
      <c r="B3" s="8" t="s">
        <v>11</v>
      </c>
      <c r="C3" s="8" t="s">
        <v>54</v>
      </c>
      <c r="D3" s="8" t="s">
        <v>4</v>
      </c>
      <c r="E3" s="8" t="s">
        <v>55</v>
      </c>
      <c r="F3" s="8" t="s">
        <v>56</v>
      </c>
      <c r="G3" s="8" t="s">
        <v>57</v>
      </c>
      <c r="H3" s="8" t="s">
        <v>58</v>
      </c>
      <c r="I3" s="8" t="s">
        <v>59</v>
      </c>
      <c r="J3" s="8" t="s">
        <v>60</v>
      </c>
      <c r="K3" s="8" t="s">
        <v>61</v>
      </c>
      <c r="L3" s="8" t="s">
        <v>62</v>
      </c>
      <c r="M3" s="8" t="s">
        <v>63</v>
      </c>
      <c r="N3" s="8" t="s">
        <v>64</v>
      </c>
      <c r="O3" s="8" t="s">
        <v>65</v>
      </c>
      <c r="P3" s="8" t="s">
        <v>66</v>
      </c>
      <c r="Q3" s="8" t="s">
        <v>67</v>
      </c>
      <c r="R3" s="8" t="s">
        <v>68</v>
      </c>
    </row>
    <row r="4" spans="1:18" ht="45">
      <c r="A4" s="9" t="s">
        <v>12</v>
      </c>
      <c r="B4" s="9" t="s">
        <v>13</v>
      </c>
      <c r="C4" s="9" t="s">
        <v>69</v>
      </c>
      <c r="D4" s="10">
        <v>39.200000000000003</v>
      </c>
      <c r="E4" s="10">
        <f>1-D2/100</f>
        <v>1</v>
      </c>
      <c r="F4" s="10">
        <v>25.2</v>
      </c>
      <c r="G4" s="10">
        <v>2.2000000000000002</v>
      </c>
      <c r="H4" s="10">
        <v>2.4</v>
      </c>
      <c r="I4" s="10">
        <v>3.5</v>
      </c>
      <c r="J4" s="10">
        <v>3.5</v>
      </c>
      <c r="K4" s="10">
        <v>1.6</v>
      </c>
      <c r="L4" s="10" t="s">
        <v>70</v>
      </c>
      <c r="M4" s="10">
        <f>G2*10*E2</f>
        <v>0</v>
      </c>
      <c r="N4" s="10">
        <f>H2*10*0.4364*E2</f>
        <v>0</v>
      </c>
      <c r="O4" s="10">
        <f>I2*10*0.8301*E2</f>
        <v>0</v>
      </c>
      <c r="P4" s="10">
        <f>J2*10*0.7147*E2</f>
        <v>0</v>
      </c>
      <c r="Q4" s="10">
        <f>K2*10*0.603*E2</f>
        <v>0</v>
      </c>
      <c r="R4" s="9" t="s">
        <v>71</v>
      </c>
    </row>
    <row r="5" spans="1:18" ht="45">
      <c r="A5" s="9" t="s">
        <v>14</v>
      </c>
      <c r="B5" s="9" t="s">
        <v>15</v>
      </c>
      <c r="C5" s="9" t="s">
        <v>72</v>
      </c>
      <c r="D5" s="10">
        <v>25.6</v>
      </c>
      <c r="E5" s="10" t="e">
        <f>1-D3/100</f>
        <v>#VALUE!</v>
      </c>
      <c r="F5" s="10">
        <v>13.5</v>
      </c>
      <c r="G5" s="10">
        <v>1.84</v>
      </c>
      <c r="H5" s="10">
        <v>4.53</v>
      </c>
      <c r="I5" s="10">
        <v>0.19</v>
      </c>
      <c r="J5" s="10">
        <v>17.5</v>
      </c>
      <c r="K5" s="10">
        <v>0.55000000000000004</v>
      </c>
      <c r="L5" s="10" t="s">
        <v>73</v>
      </c>
      <c r="M5" s="10" t="e">
        <f>G3*10</f>
        <v>#VALUE!</v>
      </c>
      <c r="N5" s="10" t="e">
        <f>H3*10*0.4364</f>
        <v>#VALUE!</v>
      </c>
      <c r="O5" s="10" t="e">
        <f>I3*10*0.8301</f>
        <v>#VALUE!</v>
      </c>
      <c r="P5" s="10" t="e">
        <f>J3*10*0.7147</f>
        <v>#VALUE!</v>
      </c>
      <c r="Q5" s="10" t="e">
        <f>K3*10*0.603</f>
        <v>#VALUE!</v>
      </c>
      <c r="R5" s="9" t="s">
        <v>74</v>
      </c>
    </row>
    <row r="6" spans="1:18" ht="45">
      <c r="A6" s="9" t="s">
        <v>27</v>
      </c>
      <c r="B6" s="9" t="s">
        <v>28</v>
      </c>
      <c r="C6" s="9" t="s">
        <v>69</v>
      </c>
      <c r="D6" s="10">
        <v>78.099999999999994</v>
      </c>
      <c r="E6" s="10">
        <f>1-D4/100</f>
        <v>0.60799999999999998</v>
      </c>
      <c r="F6" s="10">
        <v>38</v>
      </c>
      <c r="G6" s="10">
        <v>4.5999999999999996</v>
      </c>
      <c r="H6" s="10">
        <v>2.2999999999999998</v>
      </c>
      <c r="I6" s="10">
        <v>1</v>
      </c>
      <c r="J6" s="10">
        <v>4.4000000000000004</v>
      </c>
      <c r="K6" s="10">
        <v>1.3</v>
      </c>
      <c r="L6" s="10" t="s">
        <v>75</v>
      </c>
      <c r="M6" s="10">
        <f>G4*10*E4</f>
        <v>22</v>
      </c>
      <c r="N6" s="10">
        <f>H4*10*E4</f>
        <v>24</v>
      </c>
      <c r="O6" s="10">
        <f>I4*10*E4</f>
        <v>35</v>
      </c>
      <c r="P6" s="10">
        <f>J4*10*E4</f>
        <v>35</v>
      </c>
      <c r="Q6" s="10">
        <f>K4*10*E4</f>
        <v>16</v>
      </c>
      <c r="R6" s="9" t="s">
        <v>76</v>
      </c>
    </row>
    <row r="7" spans="1:18" ht="45">
      <c r="A7" s="9" t="s">
        <v>29</v>
      </c>
      <c r="B7" s="9" t="s">
        <v>30</v>
      </c>
      <c r="C7" s="9" t="s">
        <v>69</v>
      </c>
      <c r="D7" s="10">
        <v>54.9</v>
      </c>
      <c r="E7" s="10">
        <f>1-D5/100</f>
        <v>0.74399999999999999</v>
      </c>
      <c r="F7" s="10">
        <v>9.6</v>
      </c>
      <c r="G7" s="10">
        <v>1.83</v>
      </c>
      <c r="H7" s="10">
        <v>4.84</v>
      </c>
      <c r="I7" s="10">
        <v>0.38300000000000001</v>
      </c>
      <c r="J7" s="10">
        <v>5.66</v>
      </c>
      <c r="K7" s="10">
        <v>3.26</v>
      </c>
      <c r="L7" s="10" t="s">
        <v>75</v>
      </c>
      <c r="M7" s="10" t="e">
        <f>G5*10*E5</f>
        <v>#VALUE!</v>
      </c>
      <c r="N7" s="10" t="e">
        <f>H5*10*E5</f>
        <v>#VALUE!</v>
      </c>
      <c r="O7" s="10" t="e">
        <f>I5*10*E5</f>
        <v>#VALUE!</v>
      </c>
      <c r="P7" s="10" t="e">
        <f>J5*10*E5</f>
        <v>#VALUE!</v>
      </c>
      <c r="Q7" s="10" t="e">
        <f>K5*10*E5</f>
        <v>#VALUE!</v>
      </c>
      <c r="R7" s="9" t="s">
        <v>77</v>
      </c>
    </row>
    <row r="8" spans="1:18" ht="30">
      <c r="A8" s="9" t="s">
        <v>16</v>
      </c>
      <c r="B8" s="9" t="s">
        <v>23</v>
      </c>
      <c r="C8" s="9" t="s">
        <v>78</v>
      </c>
      <c r="D8" s="10" t="s">
        <v>17</v>
      </c>
      <c r="E8" s="10" t="s">
        <v>17</v>
      </c>
      <c r="F8" s="10" t="s">
        <v>17</v>
      </c>
      <c r="G8" s="10">
        <v>0.56999999999999995</v>
      </c>
      <c r="H8" s="10">
        <v>0.23</v>
      </c>
      <c r="I8" s="10">
        <v>1.37</v>
      </c>
      <c r="J8" s="10">
        <v>0.38</v>
      </c>
      <c r="K8" s="10">
        <v>0.17</v>
      </c>
      <c r="L8" s="10" t="s">
        <v>79</v>
      </c>
      <c r="M8" s="10">
        <f>G6*10</f>
        <v>46</v>
      </c>
      <c r="N8" s="10">
        <f>H6*10*0.4364</f>
        <v>10.0372</v>
      </c>
      <c r="O8" s="10">
        <f>I6*10*0.8301</f>
        <v>8.3010000000000002</v>
      </c>
      <c r="P8" s="10">
        <f>J6*10*0.7147</f>
        <v>31.4468</v>
      </c>
      <c r="Q8" s="10">
        <f>K6*10*0.603</f>
        <v>7.8389999999999995</v>
      </c>
      <c r="R8" s="9" t="s">
        <v>80</v>
      </c>
    </row>
    <row r="9" spans="1:18" ht="30">
      <c r="A9" s="9" t="s">
        <v>24</v>
      </c>
      <c r="B9" s="9" t="s">
        <v>26</v>
      </c>
      <c r="C9" s="9" t="s">
        <v>69</v>
      </c>
      <c r="D9" s="10">
        <v>1.7</v>
      </c>
      <c r="E9" s="10">
        <f>1-D7/100</f>
        <v>0.45100000000000007</v>
      </c>
      <c r="F9" s="10"/>
      <c r="G9" s="10">
        <v>7.0000000000000007E-2</v>
      </c>
      <c r="H9" s="10">
        <v>2.5</v>
      </c>
      <c r="I9" s="10">
        <v>14</v>
      </c>
      <c r="J9" s="10">
        <v>17</v>
      </c>
      <c r="K9" s="10">
        <v>3.9</v>
      </c>
      <c r="L9" s="10" t="s">
        <v>81</v>
      </c>
      <c r="M9" s="10">
        <f>G7*10*E7</f>
        <v>13.6152</v>
      </c>
      <c r="N9" s="10">
        <f>H7*10*E7</f>
        <v>36.009599999999999</v>
      </c>
      <c r="O9" s="10">
        <f>I7*10*E7</f>
        <v>2.8495200000000001</v>
      </c>
      <c r="P9" s="10">
        <f>J7*10*E7</f>
        <v>42.110399999999998</v>
      </c>
      <c r="Q9" s="10">
        <f>K7*10*E7</f>
        <v>24.254399999999997</v>
      </c>
      <c r="R9" s="9" t="s">
        <v>82</v>
      </c>
    </row>
    <row r="10" spans="1:18" ht="45">
      <c r="A10" s="9" t="s">
        <v>83</v>
      </c>
      <c r="B10" s="9" t="s">
        <v>38</v>
      </c>
      <c r="C10" s="9" t="s">
        <v>84</v>
      </c>
      <c r="D10" s="10">
        <v>95.8</v>
      </c>
      <c r="E10" s="10"/>
      <c r="F10" s="10">
        <v>9600</v>
      </c>
      <c r="G10" s="10">
        <v>3400</v>
      </c>
      <c r="H10" s="10">
        <v>1200</v>
      </c>
      <c r="I10" s="10">
        <v>3900</v>
      </c>
      <c r="J10" s="10" t="s">
        <v>17</v>
      </c>
      <c r="K10" s="10" t="s">
        <v>17</v>
      </c>
      <c r="L10" s="10" t="s">
        <v>85</v>
      </c>
      <c r="M10" s="10">
        <f>G8/1000</f>
        <v>5.6999999999999998E-4</v>
      </c>
      <c r="N10" s="10">
        <f>H8/1000*0.4364</f>
        <v>1.0037200000000001E-4</v>
      </c>
      <c r="O10" s="10">
        <f>I8/1000*0.8301</f>
        <v>1.1372369999999999E-3</v>
      </c>
      <c r="P10" s="10" t="s">
        <v>17</v>
      </c>
      <c r="Q10" s="10" t="s">
        <v>17</v>
      </c>
      <c r="R10" s="9" t="s">
        <v>86</v>
      </c>
    </row>
    <row r="12" spans="1:18">
      <c r="A12" s="1" t="s">
        <v>87</v>
      </c>
      <c r="B12" s="1" t="s">
        <v>88</v>
      </c>
      <c r="C12" s="1" t="s">
        <v>89</v>
      </c>
    </row>
    <row r="13" spans="1:18" ht="28">
      <c r="A13" s="2" t="s">
        <v>90</v>
      </c>
      <c r="B13" s="2">
        <v>0.43640000000000001</v>
      </c>
      <c r="C13" s="2" t="s">
        <v>91</v>
      </c>
    </row>
    <row r="14" spans="1:18" ht="28">
      <c r="A14" s="2" t="s">
        <v>92</v>
      </c>
      <c r="B14" s="2">
        <v>0.83009999999999995</v>
      </c>
      <c r="C14" s="2" t="s">
        <v>93</v>
      </c>
    </row>
    <row r="15" spans="1:18" ht="28">
      <c r="A15" s="2" t="s">
        <v>94</v>
      </c>
      <c r="B15" s="2">
        <v>0.7147</v>
      </c>
      <c r="C15" s="2" t="s">
        <v>95</v>
      </c>
    </row>
    <row r="16" spans="1:18" ht="28">
      <c r="A16" s="2" t="s">
        <v>96</v>
      </c>
      <c r="B16" s="2">
        <v>0.60299999999999998</v>
      </c>
      <c r="C16" s="2" t="s">
        <v>97</v>
      </c>
    </row>
  </sheetData>
  <mergeCells count="1">
    <mergeCell ref="A1:R1"/>
  </mergeCells>
  <phoneticPr fontI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掲載用表</vt:lpstr>
      <vt:lpstr>元データ・換算確認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Yasunori Nakagawa</cp:lastModifiedBy>
  <dcterms:modified xsi:type="dcterms:W3CDTF">2026-07-29T09:29:45Z</dcterms:modified>
</cp:coreProperties>
</file>