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907eb19cb3427c" /></Relationships>
</file>

<file path=xl/workbook.xml><?xml version="1.0" encoding="utf-8"?>
<x:workbook xmlns:x="http://schemas.openxmlformats.org/spreadsheetml/2006/main">
  <x:sheets>
    <x:sheet xmlns:r="http://schemas.openxmlformats.org/officeDocument/2006/relationships" name="掲載用表" sheetId="1" r:id="Raf72e51b0ac84d90"/>
    <x:sheet xmlns:r="http://schemas.openxmlformats.org/officeDocument/2006/relationships" name="元データ・換算確認" sheetId="2" r:id="R8ab373b4ff8641e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10">
    <x:font>
      <x:sz val="11"/>
      <x:name val="Carlito"/>
    </x:font>
    <x:font>
      <x:b/>
      <x:sz val="14"/>
      <x:color rgb="FF0B426F"/>
      <x:name val="Carlito"/>
    </x:font>
    <x:font>
      <x:sz val="10"/>
      <x:color rgb="FF333333"/>
      <x:name val="Carlito"/>
    </x:font>
    <x:font>
      <x:b/>
      <x:sz val="11"/>
      <x:color rgb="FF1F4E79"/>
      <x:name val="Carlito"/>
    </x:font>
    <x:font>
      <x:b/>
      <x:sz val="14"/>
      <x:color rgb="FF0B426F"/>
      <x:name val="Yu Gothic"/>
    </x:font>
    <x:font>
      <x:sz val="10"/>
      <x:color rgb="FF333333"/>
      <x:name val="Yu Gothic"/>
    </x:font>
    <x:font>
      <x:sz val="11"/>
      <x:name val="Yu Gothic"/>
    </x:font>
    <x:font>
      <x:b/>
      <x:sz val="11"/>
      <x:color rgb="FF1F4E79"/>
      <x:name val="Yu Gothic"/>
    </x:font>
    <x:font>
      <x:sz val="9"/>
      <x:name val="Yu Gothic"/>
    </x:font>
    <x:font>
      <x:b/>
      <x:sz val="9"/>
      <x:color rgb="FF1F4E79"/>
      <x:name val="Yu Gothic"/>
    </x:font>
  </x:fonts>
  <x:fills count="4">
    <x:fill>
      <x:patternFill patternType="none"/>
    </x:fill>
    <x:fill>
      <x:patternFill patternType="gray125"/>
    </x:fill>
    <x:fill>
      <x:patternFill patternType="solid">
        <x:fgColor rgb="FFEAF3F8"/>
      </x:patternFill>
    </x:fill>
    <x:fill>
      <x:patternFill patternType="solid">
        <x:fgColor rgb="FFD9EAF7"/>
      </x:patternFill>
    </x:fill>
  </x:fills>
  <x:borders count="2">
    <x:border/>
    <x:border>
      <x:left style="thin">
        <x:color rgb="FFC8D0DA"/>
      </x:left>
      <x:right style="thin">
        <x:color rgb="FFC8D0DA"/>
      </x:right>
      <x:top style="thin">
        <x:color rgb="FFC8D0DA"/>
      </x:top>
      <x:bottom style="thin">
        <x:color rgb="FFC8D0DA"/>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4" fillId="2" borderId="0" xfId="0" applyNumberFormat="1" applyFont="1" applyFill="1" applyBorder="1" applyAlignment="1">
      <x:alignment horizontal="left" vertical="center" wrapText="1"/>
    </x:xf>
    <x:xf numFmtId="0" fontId="5"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7" fillId="3" borderId="1" xfId="0" applyNumberFormat="1" applyFont="1" applyFill="1" applyBorder="1" applyAlignment="1">
      <x:alignment horizontal="center" vertical="center" wrapText="1"/>
    </x:xf>
    <x:xf numFmtId="0" fontId="6" fillId="0" borderId="1" xfId="0" applyNumberFormat="1" applyFont="1" applyFill="1" applyBorder="1" applyAlignment="1">
      <x:alignment vertical="center" wrapText="1"/>
    </x:xf>
    <x:xf numFmtId="0" fontId="6" fillId="0" borderId="1" xfId="0" applyNumberFormat="1" applyFont="1" applyFill="1" applyBorder="1" applyAlignment="1">
      <x:alignment horizontal="center" vertical="center" wrapText="1"/>
    </x:xf>
    <x:xf numFmtId="0" fontId="6" fillId="0" borderId="0" xfId="0" applyNumberFormat="1" applyFont="1" applyFill="1" applyBorder="1" applyAlignment="1">
      <x:alignment horizontal="center"/>
    </x:xf>
    <x:xf numFmtId="0" fontId="7" fillId="0" borderId="0" xfId="0" applyNumberFormat="1" applyFont="1" applyFill="1" applyBorder="1" applyAlignment="1">
      <x:alignment horizontal="center"/>
    </x:xf>
    <x:xf numFmtId="0" fontId="6" fillId="0" borderId="1" xfId="0" applyNumberFormat="1" applyFont="1" applyFill="1" applyBorder="1" applyAlignment="1">
      <x:alignment horizontal="left" vertical="center" wrapText="1"/>
    </x:xf>
    <x:xf numFmtId="0" fontId="8" fillId="0" borderId="0" xfId="0" applyNumberFormat="1" applyFont="1" applyFill="1" applyBorder="1"/>
    <x:xf numFmtId="0" fontId="9"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applyAlignment="1">
      <x:alignment wrapText="1"/>
    </x:xf>
    <x:xf numFmtId="200" fontId="7" fillId="3" borderId="1" xfId="0" applyNumberFormat="1" applyFont="1" applyFill="1" applyBorder="1" applyAlignment="1">
      <x:alignment horizontal="center" vertical="center" wrapText="1"/>
    </x:xf>
    <x:xf numFmtId="200" fontId="6" fillId="0" borderId="1" xfId="0" applyNumberFormat="1" applyFont="1" applyFill="1" applyBorder="1" applyAlignment="1">
      <x:alignment horizontal="left" vertical="center" wrapText="1"/>
    </x:xf>
    <x:xf numFmtId="200" fontId="6" fillId="0" borderId="1" xfId="0" applyNumberFormat="1" applyFont="1" applyFill="1" applyBorder="1" applyAlignment="1">
      <x:alignment horizontal="center" vertical="center" wrapText="1"/>
    </x:xf>
    <x:xf numFmtId="200" fontId="6" fillId="0" borderId="0" xfId="0" applyNumberFormat="1" applyFont="1" applyFill="1" applyBorder="1" applyAlignment="1">
      <x:alignment horizontal="center"/>
    </x:xf>
    <x:xf numFmtId="200" fontId="7" fillId="0" borderId="0" xfId="0" applyNumberFormat="1" applyFont="1" applyFill="1" applyBorder="1" applyAlignment="1">
      <x:alignment horizontal="center"/>
    </x:xf>
    <x:xf numFmtId="0" fontId="9" fillId="3" borderId="1" xfId="0" applyNumberFormat="1" applyFont="1" applyFill="1" applyBorder="1" applyAlignment="1">
      <x:alignment horizontal="center" vertical="center" wrapText="1"/>
    </x:xf>
    <x:xf numFmtId="0" fontId="8" fillId="0" borderId="1" xfId="0" applyNumberFormat="1" applyFont="1" applyFill="1" applyBorder="1" applyAlignment="1">
      <x:alignment vertical="center" wrapText="1"/>
    </x:xf>
    <x:xf numFmtId="200" fontId="8"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973bf988014e49" /><Relationship Type="http://schemas.openxmlformats.org/officeDocument/2006/relationships/theme" Target="/xl/theme/theme1.xml" Id="Rf7e1a2a2cbc8491d" /><Relationship Type="http://schemas.openxmlformats.org/officeDocument/2006/relationships/sharedStrings" Target="/xl/sharedStrings.xml" Id="R8d9942a54a544727" /><Relationship Type="http://schemas.openxmlformats.org/officeDocument/2006/relationships/worksheet" Target="/xl/worksheets/sheet1.xml" Id="Raf72e51b0ac84d90" /><Relationship Type="http://schemas.openxmlformats.org/officeDocument/2006/relationships/worksheet" Target="/xl/worksheets/sheet2.xml" Id="R8ab373b4ff8641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11" hidden="0" customWidth="1"/>
    <x:col min="3" max="3" width="10" hidden="0" customWidth="1"/>
    <x:col min="4" max="4" width="11" hidden="0" customWidth="1"/>
    <x:col min="5" max="5" width="11" hidden="0" customWidth="1"/>
    <x:col min="6" max="6" width="11" hidden="0" customWidth="1"/>
    <x:col min="7" max="7" width="11" hidden="0" customWidth="1"/>
    <x:col min="8" max="8" width="11" hidden="0" customWidth="1"/>
    <x:col min="9" max="9" width="8" hidden="0" customWidth="1"/>
  </x:cols>
  <x:sheetData>
    <x:row r="1">
      <x:c r="A1" s="18" t="str">
        <x:v>主要なバイオマス由来資材の養分含有量</x:v>
      </x:c>
      <x:c r="B1" s="18" t="str">
        <x:v>主要なバイオマス由来資材の養分含有量</x:v>
      </x:c>
      <x:c r="C1" s="18" t="str">
        <x:v>主要なバイオマス由来資材の養分含有量</x:v>
      </x:c>
      <x:c r="D1" s="18" t="str">
        <x:v>主要なバイオマス由来資材の養分含有量</x:v>
      </x:c>
      <x:c r="E1" s="18" t="str">
        <x:v>主要なバイオマス由来資材の養分含有量</x:v>
      </x:c>
      <x:c r="F1" s="18" t="str">
        <x:v>主要なバイオマス由来資材の養分含有量</x:v>
      </x:c>
      <x:c r="G1" s="18" t="str">
        <x:v>主要なバイオマス由来資材の養分含有量</x:v>
      </x:c>
      <x:c r="H1" s="18" t="str">
        <x:v>主要なバイオマス由来資材の養分含有量</x:v>
      </x:c>
      <x:c r="I1" s="18" t="str">
        <x:v>主要なバイオマス由来資材の養分含有量</x:v>
      </x:c>
    </x:row>
    <x:row r="2">
      <x:c r="A2" s="19" t="str">
        <x:v>固形資材は原物重量当たり、液状資材は原液容量当たりで整理。右端の「参照」は下部の参照資料番号に対応する。</x:v>
      </x:c>
      <x:c r="B2" s="19" t="str">
        <x:v>固形資材は原物重量当たり、液状資材は原液容量当たりで整理。右端の「参照」は下部の参照資料番号に対応する。</x:v>
      </x:c>
      <x:c r="C2" s="19" t="str">
        <x:v>固形資材は原物重量当たり、液状資材は原液容量当たりで整理。右端の「参照」は下部の参照資料番号に対応する。</x:v>
      </x:c>
      <x:c r="D2" s="19" t="str">
        <x:v>固形資材は原物重量当たり、液状資材は原液容量当たりで整理。右端の「参照」は下部の参照資料番号に対応する。</x:v>
      </x:c>
      <x:c r="E2" s="19" t="str">
        <x:v>固形資材は原物重量当たり、液状資材は原液容量当たりで整理。右端の「参照」は下部の参照資料番号に対応する。</x:v>
      </x:c>
      <x:c r="F2" s="19" t="str">
        <x:v>固形資材は原物重量当たり、液状資材は原液容量当たりで整理。右端の「参照」は下部の参照資料番号に対応する。</x:v>
      </x:c>
      <x:c r="G2" s="19" t="str">
        <x:v>固形資材は原物重量当たり、液状資材は原液容量当たりで整理。右端の「参照」は下部の参照資料番号に対応する。</x:v>
      </x:c>
      <x:c r="H2" s="19" t="str">
        <x:v>固形資材は原物重量当たり、液状資材は原液容量当たりで整理。右端の「参照」は下部の参照資料番号に対応する。</x:v>
      </x:c>
      <x:c r="I2" s="19" t="str">
        <x:v>固形資材は原物重量当たり、液状資材は原液容量当たりで整理。右端の「参照」は下部の参照資料番号に対応する。</x:v>
      </x:c>
    </x:row>
    <x:row r="3">
      <x:c r="A3" s="20"/>
      <x:c r="B3" s="20"/>
      <x:c r="C3" s="20"/>
      <x:c r="D3" s="20"/>
      <x:c r="E3" s="20"/>
      <x:c r="F3" s="20"/>
      <x:c r="G3" s="20"/>
      <x:c r="H3" s="20"/>
      <x:c r="I3" s="20"/>
    </x:row>
    <x:row r="4">
      <x:c r="A4" s="21" t="str">
        <x:v>表1　主要なバイオマス由来固形資材の養分含有量</x:v>
      </x:c>
      <x:c r="B4" s="21" t="str">
        <x:v>表1　主要なバイオマス由来固形資材の養分含有量</x:v>
      </x:c>
      <x:c r="C4" s="21" t="str">
        <x:v>表1　主要なバイオマス由来固形資材の養分含有量</x:v>
      </x:c>
      <x:c r="D4" s="21" t="str">
        <x:v>表1　主要なバイオマス由来固形資材の養分含有量</x:v>
      </x:c>
      <x:c r="E4" s="21" t="str">
        <x:v>表1　主要なバイオマス由来固形資材の養分含有量</x:v>
      </x:c>
      <x:c r="F4" s="21" t="str">
        <x:v>表1　主要なバイオマス由来固形資材の養分含有量</x:v>
      </x:c>
      <x:c r="G4" s="21" t="str">
        <x:v>表1　主要なバイオマス由来固形資材の養分含有量</x:v>
      </x:c>
      <x:c r="H4" s="21" t="str">
        <x:v>表1　主要なバイオマス由来固形資材の養分含有量</x:v>
      </x:c>
      <x:c r="I4" s="21" t="str">
        <x:v>表1　主要なバイオマス由来固形資材の養分含有量</x:v>
      </x:c>
    </x:row>
    <x:row r="5">
      <x:c r="A5" s="32" t="str">
        <x:v>資材</x:v>
      </x:c>
      <x:c r="B5" s="32" t="str">
        <x:v>水分（%）</x:v>
      </x:c>
      <x:c r="C5" s="32" t="str">
        <x:v>C/N比</x:v>
      </x:c>
      <x:c r="D5" s="32" t="str">
        <x:v>N（g/kg）</x:v>
      </x:c>
      <x:c r="E5" s="32" t="str">
        <x:v>P（g/kg）</x:v>
      </x:c>
      <x:c r="F5" s="32" t="str">
        <x:v>K（g/kg）</x:v>
      </x:c>
      <x:c r="G5" s="32" t="str">
        <x:v>Ca（g/kg）</x:v>
      </x:c>
      <x:c r="H5" s="32" t="str">
        <x:v>Mg（g/kg）</x:v>
      </x:c>
      <x:c r="I5" s="32" t="str">
        <x:v>参照</x:v>
      </x:c>
    </x:row>
    <x:row r="6">
      <x:c r="A6" s="33" t="str">
        <x:v>牛ふん堆肥</x:v>
      </x:c>
      <x:c r="B6" s="34" t="n">
        <x:v>39.2</x:v>
      </x:c>
      <x:c r="C6" s="34" t="n">
        <x:v>11.9</x:v>
      </x:c>
      <x:c r="D6" s="34" t="n">
        <x:v>13.4</x:v>
      </x:c>
      <x:c r="E6" s="34" t="n">
        <x:v>6.37</x:v>
      </x:c>
      <x:c r="F6" s="34" t="n">
        <x:v>17.7</x:v>
      </x:c>
      <x:c r="G6" s="34" t="n">
        <x:v>15.2</x:v>
      </x:c>
      <x:c r="H6" s="34" t="n">
        <x:v>5.87</x:v>
      </x:c>
      <x:c r="I6" s="34" t="str">
        <x:v>(1)</x:v>
      </x:c>
    </x:row>
    <x:row r="7">
      <x:c r="A7" s="33" t="str">
        <x:v>下水汚泥コンポスト（高島浄化センター）</x:v>
      </x:c>
      <x:c r="B7" s="34" t="n">
        <x:v>25.6</x:v>
      </x:c>
      <x:c r="C7" s="34" t="n">
        <x:v>7.3</x:v>
      </x:c>
      <x:c r="D7" s="34" t="n">
        <x:v>18.4</x:v>
      </x:c>
      <x:c r="E7" s="34" t="n">
        <x:v>19.8</x:v>
      </x:c>
      <x:c r="F7" s="34" t="n">
        <x:v>1.58</x:v>
      </x:c>
      <x:c r="G7" s="34" t="n">
        <x:v>125</x:v>
      </x:c>
      <x:c r="H7" s="34" t="n">
        <x:v>3.32</x:v>
      </x:c>
      <x:c r="I7" s="34" t="str">
        <x:v>(2)</x:v>
      </x:c>
    </x:row>
    <x:row r="8">
      <x:c r="A8" s="33" t="str">
        <x:v>固形消化残渣（脱水ケーキ）</x:v>
      </x:c>
      <x:c r="B8" s="34" t="n">
        <x:v>78.1</x:v>
      </x:c>
      <x:c r="C8" s="34" t="n">
        <x:v>8.3</x:v>
      </x:c>
      <x:c r="D8" s="34" t="n">
        <x:v>10.1</x:v>
      </x:c>
      <x:c r="E8" s="34" t="n">
        <x:v>5.04</x:v>
      </x:c>
      <x:c r="F8" s="34" t="n">
        <x:v>2.19</x:v>
      </x:c>
      <x:c r="G8" s="34" t="n">
        <x:v>9.64</x:v>
      </x:c>
      <x:c r="H8" s="34" t="n">
        <x:v>2.85</x:v>
      </x:c>
      <x:c r="I8" s="34" t="str">
        <x:v>(3)</x:v>
      </x:c>
    </x:row>
    <x:row r="9">
      <x:c r="A9" s="33" t="str">
        <x:v>メタン発酵槽底部堆積物</x:v>
      </x:c>
      <x:c r="B9" s="34" t="n">
        <x:v>54.9</x:v>
      </x:c>
      <x:c r="C9" s="34" t="n">
        <x:v>5.2</x:v>
      </x:c>
      <x:c r="D9" s="34" t="n">
        <x:v>8.25</x:v>
      </x:c>
      <x:c r="E9" s="34" t="n">
        <x:v>21.8</x:v>
      </x:c>
      <x:c r="F9" s="34" t="n">
        <x:v>1.73</x:v>
      </x:c>
      <x:c r="G9" s="34" t="n">
        <x:v>25.5</x:v>
      </x:c>
      <x:c r="H9" s="34" t="n">
        <x:v>14.7</x:v>
      </x:c>
      <x:c r="I9" s="34" t="str">
        <x:v>(4)</x:v>
      </x:c>
    </x:row>
    <x:row r="10">
      <x:c r="A10" s="33" t="str">
        <x:v>バイオ炭（もみ殻炭）</x:v>
      </x:c>
      <x:c r="B10" s="34" t="str">
        <x:v>―</x:v>
      </x:c>
      <x:c r="C10" s="34" t="str">
        <x:v>―</x:v>
      </x:c>
      <x:c r="D10" s="34" t="str">
        <x:v>5.70※1</x:v>
      </x:c>
      <x:c r="E10" s="34" t="str">
        <x:v>1.00※1</x:v>
      </x:c>
      <x:c r="F10" s="34" t="str">
        <x:v>11.4※1</x:v>
      </x:c>
      <x:c r="G10" s="34" t="str">
        <x:v>2.72※1</x:v>
      </x:c>
      <x:c r="H10" s="34" t="str">
        <x:v>1.03※1</x:v>
      </x:c>
      <x:c r="I10" s="34" t="str">
        <x:v>(5)</x:v>
      </x:c>
    </x:row>
    <x:row r="11">
      <x:c r="A11" s="33" t="str">
        <x:v>木質バイオマス燃焼灰</x:v>
      </x:c>
      <x:c r="B11" s="34" t="n">
        <x:v>1.7</x:v>
      </x:c>
      <x:c r="C11" s="34" t="str">
        <x:v>67※2</x:v>
      </x:c>
      <x:c r="D11" s="34" t="n">
        <x:v>0.69</x:v>
      </x:c>
      <x:c r="E11" s="34" t="n">
        <x:v>24.6</x:v>
      </x:c>
      <x:c r="F11" s="34" t="n">
        <x:v>138</x:v>
      </x:c>
      <x:c r="G11" s="34" t="n">
        <x:v>167</x:v>
      </x:c>
      <x:c r="H11" s="34" t="n">
        <x:v>38.3</x:v>
      </x:c>
      <x:c r="I11" s="34" t="str">
        <x:v>(6)</x:v>
      </x:c>
    </x:row>
    <x:row r="12">
      <x:c r="A12" s="35"/>
      <x:c r="B12" s="35"/>
      <x:c r="C12" s="35"/>
      <x:c r="D12" s="35"/>
      <x:c r="E12" s="35"/>
      <x:c r="F12" s="35"/>
      <x:c r="G12" s="35"/>
      <x:c r="H12" s="35"/>
      <x:c r="I12" s="35"/>
    </x:row>
    <x:row r="13">
      <x:c r="A13" s="36" t="str">
        <x:v>表2　メタン発酵消化液の養分含有量</x:v>
      </x:c>
      <x:c r="B13" s="36" t="str">
        <x:v>表2　メタン発酵消化液の養分含有量</x:v>
      </x:c>
      <x:c r="C13" s="36" t="str">
        <x:v>表2　メタン発酵消化液の養分含有量</x:v>
      </x:c>
      <x:c r="D13" s="36" t="str">
        <x:v>表2　メタン発酵消化液の養分含有量</x:v>
      </x:c>
      <x:c r="E13" s="36" t="str">
        <x:v>表2　メタン発酵消化液の養分含有量</x:v>
      </x:c>
      <x:c r="F13" s="36" t="str">
        <x:v>表2　メタン発酵消化液の養分含有量</x:v>
      </x:c>
      <x:c r="G13" s="36" t="str">
        <x:v>表2　メタン発酵消化液の養分含有量</x:v>
      </x:c>
      <x:c r="H13" s="36" t="str">
        <x:v>表2　メタン発酵消化液の養分含有量</x:v>
      </x:c>
      <x:c r="I13" s="36" t="str">
        <x:v>表2　メタン発酵消化液の養分含有量</x:v>
      </x:c>
    </x:row>
    <x:row r="14">
      <x:c r="A14" s="32" t="str">
        <x:v>資材</x:v>
      </x:c>
      <x:c r="B14" s="32" t="str">
        <x:v>水分（%）</x:v>
      </x:c>
      <x:c r="C14" s="32" t="str">
        <x:v>C/N比</x:v>
      </x:c>
      <x:c r="D14" s="32" t="str">
        <x:v>N（g/L）</x:v>
      </x:c>
      <x:c r="E14" s="32" t="str">
        <x:v>P（g/L）</x:v>
      </x:c>
      <x:c r="F14" s="32" t="str">
        <x:v>K（g/L）</x:v>
      </x:c>
      <x:c r="G14" s="32" t="str">
        <x:v>Ca（g/L）</x:v>
      </x:c>
      <x:c r="H14" s="32" t="str">
        <x:v>Mg（g/L）</x:v>
      </x:c>
      <x:c r="I14" s="32" t="str">
        <x:v>参照</x:v>
      </x:c>
    </x:row>
    <x:row r="15">
      <x:c r="A15" s="33" t="str">
        <x:v>メタン発酵消化液（乳牛ふん尿主体、一部野菜残渣）</x:v>
      </x:c>
      <x:c r="B15" s="34" t="n">
        <x:v>95.8</x:v>
      </x:c>
      <x:c r="C15" s="34" t="n">
        <x:v>2.8</x:v>
      </x:c>
      <x:c r="D15" s="34" t="n">
        <x:v>3.4</x:v>
      </x:c>
      <x:c r="E15" s="34" t="n">
        <x:v>0.524</x:v>
      </x:c>
      <x:c r="F15" s="34" t="n">
        <x:v>3.24</x:v>
      </x:c>
      <x:c r="G15" s="34" t="str">
        <x:v>―</x:v>
      </x:c>
      <x:c r="H15" s="34" t="str">
        <x:v>―</x:v>
      </x:c>
      <x:c r="I15" s="34" t="str">
        <x:v>(7)</x:v>
      </x:c>
    </x:row>
    <x:row r="16">
      <x:c r="A16" s="20"/>
      <x:c r="B16" s="20"/>
      <x:c r="C16" s="20"/>
      <x:c r="D16" s="20"/>
      <x:c r="E16" s="20"/>
      <x:c r="F16" s="20"/>
      <x:c r="G16" s="20"/>
      <x:c r="H16" s="20"/>
      <x:c r="I16" s="20"/>
    </x:row>
    <x:row r="17">
      <x:c r="A17" s="21" t="str">
        <x:v>注記</x:v>
      </x:c>
      <x:c r="B17" s="21" t="str">
        <x:v>注記</x:v>
      </x:c>
      <x:c r="C17" s="21" t="str">
        <x:v>注記</x:v>
      </x:c>
      <x:c r="D17" s="21" t="str">
        <x:v>注記</x:v>
      </x:c>
      <x:c r="E17" s="21" t="str">
        <x:v>注記</x:v>
      </x:c>
      <x:c r="F17" s="21" t="str">
        <x:v>注記</x:v>
      </x:c>
      <x:c r="G17" s="21" t="str">
        <x:v>注記</x:v>
      </x:c>
      <x:c r="H17" s="21" t="str">
        <x:v>注記</x:v>
      </x:c>
      <x:c r="I17" s="21" t="str">
        <x:v>注記</x:v>
      </x:c>
    </x:row>
    <x:row r="18" ht="42" customHeight="1">
      <x:c r="A18" s="30" t="str">
        <x:v>・固形資材のN、P、K、Ca、Mgは、原物重量1 kg当たりの含有量を基本とした。
文献値が乾物基準の場合には、同一試料の水分含有率から「原物値＝乾物値×（1－水分率/100）」として換算した。</x:v>
      </x:c>
      <x:c r="B18" s="30" t="str">
        <x:v>・固形資材のN、P、K、Ca、Mgは、原物重量1 kg当たりの含有量を基本とした。
文献値が乾物基準の場合には、同一試料の水分含有率から「原物値＝乾物値×（1－水分率/100）」として換算した。</x:v>
      </x:c>
      <x:c r="C18" s="30" t="str">
        <x:v>・固形資材のN、P、K、Ca、Mgは、原物重量1 kg当たりの含有量を基本とした。
文献値が乾物基準の場合には、同一試料の水分含有率から「原物値＝乾物値×（1－水分率/100）」として換算した。</x:v>
      </x:c>
      <x:c r="D18" s="30" t="str">
        <x:v>・固形資材のN、P、K、Ca、Mgは、原物重量1 kg当たりの含有量を基本とした。
文献値が乾物基準の場合には、同一試料の水分含有率から「原物値＝乾物値×（1－水分率/100）」として換算した。</x:v>
      </x:c>
      <x:c r="E18" s="30" t="str">
        <x:v>・固形資材のN、P、K、Ca、Mgは、原物重量1 kg当たりの含有量を基本とした。
文献値が乾物基準の場合には、同一試料の水分含有率から「原物値＝乾物値×（1－水分率/100）」として換算した。</x:v>
      </x:c>
      <x:c r="F18" s="30" t="str">
        <x:v>・固形資材のN、P、K、Ca、Mgは、原物重量1 kg当たりの含有量を基本とした。
文献値が乾物基準の場合には、同一試料の水分含有率から「原物値＝乾物値×（1－水分率/100）」として換算した。</x:v>
      </x:c>
      <x:c r="G18" s="30" t="str">
        <x:v>・固形資材のN、P、K、Ca、Mgは、原物重量1 kg当たりの含有量を基本とした。
文献値が乾物基準の場合には、同一試料の水分含有率から「原物値＝乾物値×（1－水分率/100）」として換算した。</x:v>
      </x:c>
      <x:c r="H18" s="30" t="str">
        <x:v>・固形資材のN、P、K、Ca、Mgは、原物重量1 kg当たりの含有量を基本とした。
文献値が乾物基準の場合には、同一試料の水分含有率から「原物値＝乾物値×（1－水分率/100）」として換算した。</x:v>
      </x:c>
      <x:c r="I18" s="30" t="str">
        <x:v>・固形資材のN、P、K、Ca、Mgは、原物重量1 kg当たりの含有量を基本とした。
文献値が乾物基準の場合には、同一試料の水分含有率から「原物値＝乾物値×（1－水分率/100）」として換算した。</x:v>
      </x:c>
    </x:row>
    <x:row r="19" ht="42" customHeight="1">
      <x:c r="A19" s="30" t="str">
        <x:v>・P、K、Ca、MgがP2O5、K2O、CaO、MgOとして示されている場合は元素重量へ換算した。
P＝P2O5×0.4364、K＝K2O×0.8301、Ca＝CaO×0.7147、Mg＝MgO×0.6030。</x:v>
      </x:c>
      <x:c r="B19" s="30" t="str">
        <x:v>・P、K、Ca、MgがP2O5、K2O、CaO、MgOとして示されている場合は元素重量へ換算した。
P＝P2O5×0.4364、K＝K2O×0.8301、Ca＝CaO×0.7147、Mg＝MgO×0.6030。</x:v>
      </x:c>
      <x:c r="C19" s="30" t="str">
        <x:v>・P、K、Ca、MgがP2O5、K2O、CaO、MgOとして示されている場合は元素重量へ換算した。
P＝P2O5×0.4364、K＝K2O×0.8301、Ca＝CaO×0.7147、Mg＝MgO×0.6030。</x:v>
      </x:c>
      <x:c r="D19" s="30" t="str">
        <x:v>・P、K、Ca、MgがP2O5、K2O、CaO、MgOとして示されている場合は元素重量へ換算した。
P＝P2O5×0.4364、K＝K2O×0.8301、Ca＝CaO×0.7147、Mg＝MgO×0.6030。</x:v>
      </x:c>
      <x:c r="E19" s="30" t="str">
        <x:v>・P、K、Ca、MgがP2O5、K2O、CaO、MgOとして示されている場合は元素重量へ換算した。
P＝P2O5×0.4364、K＝K2O×0.8301、Ca＝CaO×0.7147、Mg＝MgO×0.6030。</x:v>
      </x:c>
      <x:c r="F19" s="30" t="str">
        <x:v>・P、K、Ca、MgがP2O5、K2O、CaO、MgOとして示されている場合は元素重量へ換算した。
P＝P2O5×0.4364、K＝K2O×0.8301、Ca＝CaO×0.7147、Mg＝MgO×0.6030。</x:v>
      </x:c>
      <x:c r="G19" s="30" t="str">
        <x:v>・P、K、Ca、MgがP2O5、K2O、CaO、MgOとして示されている場合は元素重量へ換算した。
P＝P2O5×0.4364、K＝K2O×0.8301、Ca＝CaO×0.7147、Mg＝MgO×0.6030。</x:v>
      </x:c>
      <x:c r="H19" s="30" t="str">
        <x:v>・P、K、Ca、MgがP2O5、K2O、CaO、MgOとして示されている場合は元素重量へ換算した。
P＝P2O5×0.4364、K＝K2O×0.8301、Ca＝CaO×0.7147、Mg＝MgO×0.6030。</x:v>
      </x:c>
      <x:c r="I19" s="30" t="str">
        <x:v>・P、K、Ca、MgがP2O5、K2O、CaO、MgOとして示されている場合は元素重量へ換算した。
P＝P2O5×0.4364、K＝K2O×0.8301、Ca＝CaO×0.7147、Mg＝MgO×0.6030。</x:v>
      </x:c>
    </x:row>
    <x:row r="20" ht="34" customHeight="1">
      <x:c r="A20" s="30" t="str">
        <x:v>・C/N比は文献記載値、または同一試料の全炭素（C）と全窒素（N）から算出した。</x:v>
      </x:c>
      <x:c r="B20" s="30" t="str">
        <x:v>・C/N比は文献記載値、または同一試料の全炭素（C）と全窒素（N）から算出した。</x:v>
      </x:c>
      <x:c r="C20" s="30" t="str">
        <x:v>・C/N比は文献記載値、または同一試料の全炭素（C）と全窒素（N）から算出した。</x:v>
      </x:c>
      <x:c r="D20" s="30" t="str">
        <x:v>・C/N比は文献記載値、または同一試料の全炭素（C）と全窒素（N）から算出した。</x:v>
      </x:c>
      <x:c r="E20" s="30" t="str">
        <x:v>・C/N比は文献記載値、または同一試料の全炭素（C）と全窒素（N）から算出した。</x:v>
      </x:c>
      <x:c r="F20" s="30" t="str">
        <x:v>・C/N比は文献記載値、または同一試料の全炭素（C）と全窒素（N）から算出した。</x:v>
      </x:c>
      <x:c r="G20" s="30" t="str">
        <x:v>・C/N比は文献記載値、または同一試料の全炭素（C）と全窒素（N）から算出した。</x:v>
      </x:c>
      <x:c r="H20" s="30" t="str">
        <x:v>・C/N比は文献記載値、または同一試料の全炭素（C）と全窒素（N）から算出した。</x:v>
      </x:c>
      <x:c r="I20" s="30" t="str">
        <x:v>・C/N比は文献記載値、または同一試料の全炭素（C）と全窒素（N）から算出した。</x:v>
      </x:c>
    </x:row>
    <x:row r="21" ht="34" customHeight="1">
      <x:c r="A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B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C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D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E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F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G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H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c r="I21" s="30" t="str">
        <x:v>・※1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x:v>
      </x:c>
    </x:row>
    <x:row r="22" ht="34" customHeight="1">
      <x:c r="A22" s="30" t="str">
        <x:v>・※2 木質燃焼灰のC/N比67は原資料に記載された値である。ただし、燃焼灰ではNが非常に少なく、堆肥・消化残渣などの有機質資材のC/N比と同じ意味では比較できない。</x:v>
      </x:c>
      <x:c r="B22" s="30" t="str">
        <x:v>・※2 木質燃焼灰のC/N比67は原資料に記載された値である。ただし、燃焼灰ではNが非常に少なく、堆肥・消化残渣などの有機質資材のC/N比と同じ意味では比較できない。</x:v>
      </x:c>
      <x:c r="C22" s="30" t="str">
        <x:v>・※2 木質燃焼灰のC/N比67は原資料に記載された値である。ただし、燃焼灰ではNが非常に少なく、堆肥・消化残渣などの有機質資材のC/N比と同じ意味では比較できない。</x:v>
      </x:c>
      <x:c r="D22" s="30" t="str">
        <x:v>・※2 木質燃焼灰のC/N比67は原資料に記載された値である。ただし、燃焼灰ではNが非常に少なく、堆肥・消化残渣などの有機質資材のC/N比と同じ意味では比較できない。</x:v>
      </x:c>
      <x:c r="E22" s="30" t="str">
        <x:v>・※2 木質燃焼灰のC/N比67は原資料に記載された値である。ただし、燃焼灰ではNが非常に少なく、堆肥・消化残渣などの有機質資材のC/N比と同じ意味では比較できない。</x:v>
      </x:c>
      <x:c r="F22" s="30" t="str">
        <x:v>・※2 木質燃焼灰のC/N比67は原資料に記載された値である。ただし、燃焼灰ではNが非常に少なく、堆肥・消化残渣などの有機質資材のC/N比と同じ意味では比較できない。</x:v>
      </x:c>
      <x:c r="G22" s="30" t="str">
        <x:v>・※2 木質燃焼灰のC/N比67は原資料に記載された値である。ただし、燃焼灰ではNが非常に少なく、堆肥・消化残渣などの有機質資材のC/N比と同じ意味では比較できない。</x:v>
      </x:c>
      <x:c r="H22" s="30" t="str">
        <x:v>・※2 木質燃焼灰のC/N比67は原資料に記載された値である。ただし、燃焼灰ではNが非常に少なく、堆肥・消化残渣などの有機質資材のC/N比と同じ意味では比較できない。</x:v>
      </x:c>
      <x:c r="I22" s="30" t="str">
        <x:v>・※2 木質燃焼灰のC/N比67は原資料に記載された値である。ただし、燃焼灰ではNが非常に少なく、堆肥・消化残渣などの有機質資材のC/N比と同じ意味では比較できない。</x:v>
      </x:c>
    </x:row>
    <x:row r="23" ht="34" customHeight="1">
      <x:c r="A23" s="30" t="str">
        <x:v>・各値は資材一般の固定値ではなく、採用文献における平均値または特定事例の値である。原料、製造・処理方法、炭化温度、燃焼条件等によって組成は変動する。</x:v>
      </x:c>
      <x:c r="B23" s="30" t="str">
        <x:v>・各値は資材一般の固定値ではなく、採用文献における平均値または特定事例の値である。原料、製造・処理方法、炭化温度、燃焼条件等によって組成は変動する。</x:v>
      </x:c>
      <x:c r="C23" s="30" t="str">
        <x:v>・各値は資材一般の固定値ではなく、採用文献における平均値または特定事例の値である。原料、製造・処理方法、炭化温度、燃焼条件等によって組成は変動する。</x:v>
      </x:c>
      <x:c r="D23" s="30" t="str">
        <x:v>・各値は資材一般の固定値ではなく、採用文献における平均値または特定事例の値である。原料、製造・処理方法、炭化温度、燃焼条件等によって組成は変動する。</x:v>
      </x:c>
      <x:c r="E23" s="30" t="str">
        <x:v>・各値は資材一般の固定値ではなく、採用文献における平均値または特定事例の値である。原料、製造・処理方法、炭化温度、燃焼条件等によって組成は変動する。</x:v>
      </x:c>
      <x:c r="F23" s="30" t="str">
        <x:v>・各値は資材一般の固定値ではなく、採用文献における平均値または特定事例の値である。原料、製造・処理方法、炭化温度、燃焼条件等によって組成は変動する。</x:v>
      </x:c>
      <x:c r="G23" s="30" t="str">
        <x:v>・各値は資材一般の固定値ではなく、採用文献における平均値または特定事例の値である。原料、製造・処理方法、炭化温度、燃焼条件等によって組成は変動する。</x:v>
      </x:c>
      <x:c r="H23" s="30" t="str">
        <x:v>・各値は資材一般の固定値ではなく、採用文献における平均値または特定事例の値である。原料、製造・処理方法、炭化温度、燃焼条件等によって組成は変動する。</x:v>
      </x:c>
      <x:c r="I23" s="30" t="str">
        <x:v>・各値は資材一般の固定値ではなく、採用文献における平均値または特定事例の値である。原料、製造・処理方法、炭化温度、燃焼条件等によって組成は変動する。</x:v>
      </x:c>
    </x:row>
    <x:row r="24">
      <x:c r="A24" s="30"/>
      <x:c r="B24" s="30"/>
      <x:c r="C24" s="30"/>
      <x:c r="D24" s="30"/>
      <x:c r="E24" s="30"/>
      <x:c r="F24" s="30"/>
      <x:c r="G24" s="30"/>
      <x:c r="H24" s="30"/>
      <x:c r="I24" s="30"/>
    </x:row>
    <x:row r="25">
      <x:c r="A25" s="31" t="str">
        <x:v>参照</x:v>
      </x:c>
      <x:c r="B25" s="31" t="str">
        <x:v>参照</x:v>
      </x:c>
      <x:c r="C25" s="31" t="str">
        <x:v>参照</x:v>
      </x:c>
      <x:c r="D25" s="31" t="str">
        <x:v>参照</x:v>
      </x:c>
      <x:c r="E25" s="31" t="str">
        <x:v>参照</x:v>
      </x:c>
      <x:c r="F25" s="31" t="str">
        <x:v>参照</x:v>
      </x:c>
      <x:c r="G25" s="31" t="str">
        <x:v>参照</x:v>
      </x:c>
      <x:c r="H25" s="31" t="str">
        <x:v>参照</x:v>
      </x:c>
      <x:c r="I25" s="31" t="str">
        <x:v>参照</x:v>
      </x:c>
    </x:row>
    <x:row r="26" ht="34" customHeight="1">
      <x:c r="A26" s="30" t="str">
        <x:v>(1)</x:v>
      </x:c>
      <x:c r="B26" s="30" t="str">
        <x:v>吉橋泰彦（2025）「千葉県内で生産される家畜ふん堆肥の特性」『千葉県農林総合研究センター研究報告』17：34–42．doi:10.82686/cafrc.2025.17_34.</x:v>
      </x:c>
      <x:c r="C26" s="30" t="str">
        <x:v>吉橋泰彦（2025）「千葉県内で生産される家畜ふん堆肥の特性」『千葉県農林総合研究センター研究報告』17：34–42．doi:10.82686/cafrc.2025.17_34.</x:v>
      </x:c>
      <x:c r="D26" s="30" t="str">
        <x:v>吉橋泰彦（2025）「千葉県内で生産される家畜ふん堆肥の特性」『千葉県農林総合研究センター研究報告』17：34–42．doi:10.82686/cafrc.2025.17_34.</x:v>
      </x:c>
      <x:c r="E26" s="30" t="str">
        <x:v>吉橋泰彦（2025）「千葉県内で生産される家畜ふん堆肥の特性」『千葉県農林総合研究センター研究報告』17：34–42．doi:10.82686/cafrc.2025.17_34.</x:v>
      </x:c>
      <x:c r="F26" s="30" t="str">
        <x:v>吉橋泰彦（2025）「千葉県内で生産される家畜ふん堆肥の特性」『千葉県農林総合研究センター研究報告』17：34–42．doi:10.82686/cafrc.2025.17_34.</x:v>
      </x:c>
      <x:c r="G26" s="30" t="str">
        <x:v>吉橋泰彦（2025）「千葉県内で生産される家畜ふん堆肥の特性」『千葉県農林総合研究センター研究報告』17：34–42．doi:10.82686/cafrc.2025.17_34.</x:v>
      </x:c>
      <x:c r="H26" s="30" t="str">
        <x:v>吉橋泰彦（2025）「千葉県内で生産される家畜ふん堆肥の特性」『千葉県農林総合研究センター研究報告』17：34–42．doi:10.82686/cafrc.2025.17_34.</x:v>
      </x:c>
      <x:c r="I26" s="30" t="str">
        <x:v>吉橋泰彦（2025）「千葉県内で生産される家畜ふん堆肥の特性」『千葉県農林総合研究センター研究報告』17：34–42．doi:10.82686/cafrc.2025.17_34.</x:v>
      </x:c>
    </x:row>
    <x:row r="27" ht="34" customHeight="1">
      <x:c r="A27" s="30" t="str">
        <x:v>(2)</x:v>
      </x:c>
      <x:c r="B27" s="30" t="str">
        <x:v>山口典子・井原啓貴（2026）『下水汚泥資源の活用の取組と肥効見える化アプリについて』中国四国地域国内肥料資源利用拡大ネットワーク勉強会資料，農研機構，2026年2月3日.</x:v>
      </x:c>
      <x:c r="C27" s="30" t="str">
        <x:v>山口典子・井原啓貴（2026）『下水汚泥資源の活用の取組と肥効見える化アプリについて』中国四国地域国内肥料資源利用拡大ネットワーク勉強会資料，農研機構，2026年2月3日.</x:v>
      </x:c>
      <x:c r="D27" s="30" t="str">
        <x:v>山口典子・井原啓貴（2026）『下水汚泥資源の活用の取組と肥効見える化アプリについて』中国四国地域国内肥料資源利用拡大ネットワーク勉強会資料，農研機構，2026年2月3日.</x:v>
      </x:c>
      <x:c r="E27" s="30" t="str">
        <x:v>山口典子・井原啓貴（2026）『下水汚泥資源の活用の取組と肥効見える化アプリについて』中国四国地域国内肥料資源利用拡大ネットワーク勉強会資料，農研機構，2026年2月3日.</x:v>
      </x:c>
      <x:c r="F27" s="30" t="str">
        <x:v>山口典子・井原啓貴（2026）『下水汚泥資源の活用の取組と肥効見える化アプリについて』中国四国地域国内肥料資源利用拡大ネットワーク勉強会資料，農研機構，2026年2月3日.</x:v>
      </x:c>
      <x:c r="G27" s="30" t="str">
        <x:v>山口典子・井原啓貴（2026）『下水汚泥資源の活用の取組と肥効見える化アプリについて』中国四国地域国内肥料資源利用拡大ネットワーク勉強会資料，農研機構，2026年2月3日.</x:v>
      </x:c>
      <x:c r="H27" s="30" t="str">
        <x:v>山口典子・井原啓貴（2026）『下水汚泥資源の活用の取組と肥効見える化アプリについて』中国四国地域国内肥料資源利用拡大ネットワーク勉強会資料，農研機構，2026年2月3日.</x:v>
      </x:c>
      <x:c r="I27" s="30" t="str">
        <x:v>山口典子・井原啓貴（2026）『下水汚泥資源の活用の取組と肥効見える化アプリについて』中国四国地域国内肥料資源利用拡大ネットワーク勉強会資料，農研機構，2026年2月3日.</x:v>
      </x:c>
    </x:row>
    <x:row r="28" ht="34" customHeight="1">
      <x:c r="A28" s="30" t="str">
        <x:v>(3)</x:v>
      </x:c>
      <x:c r="B28" s="30" t="str">
        <x:v>中村真人（2011）「メタン発酵消化液の液肥利用とその環境影響に関する研究」『農村工学研究所報告』50：1–57.</x:v>
      </x:c>
      <x:c r="C28" s="30" t="str">
        <x:v>中村真人（2011）「メタン発酵消化液の液肥利用とその環境影響に関する研究」『農村工学研究所報告』50：1–57.</x:v>
      </x:c>
      <x:c r="D28" s="30" t="str">
        <x:v>中村真人（2011）「メタン発酵消化液の液肥利用とその環境影響に関する研究」『農村工学研究所報告』50：1–57.</x:v>
      </x:c>
      <x:c r="E28" s="30" t="str">
        <x:v>中村真人（2011）「メタン発酵消化液の液肥利用とその環境影響に関する研究」『農村工学研究所報告』50：1–57.</x:v>
      </x:c>
      <x:c r="F28" s="30" t="str">
        <x:v>中村真人（2011）「メタン発酵消化液の液肥利用とその環境影響に関する研究」『農村工学研究所報告』50：1–57.</x:v>
      </x:c>
      <x:c r="G28" s="30" t="str">
        <x:v>中村真人（2011）「メタン発酵消化液の液肥利用とその環境影響に関する研究」『農村工学研究所報告』50：1–57.</x:v>
      </x:c>
      <x:c r="H28" s="30" t="str">
        <x:v>中村真人（2011）「メタン発酵消化液の液肥利用とその環境影響に関する研究」『農村工学研究所報告』50：1–57.</x:v>
      </x:c>
      <x:c r="I28" s="30" t="str">
        <x:v>中村真人（2011）「メタン発酵消化液の液肥利用とその環境影響に関する研究」『農村工学研究所報告』50：1–57.</x:v>
      </x:c>
    </x:row>
    <x:row r="29" ht="34" customHeight="1">
      <x:c r="A29" s="30" t="str">
        <x:v>(4)</x:v>
      </x:c>
      <x:c r="B29" s="30" t="str">
        <x:v>中村真人・山岡賢・相原秀基・柚山義人・折立文子（2014）「メタン発酵槽内に蓄積する物質の成分的特徴」『農村工学研究所技報』215：31–37.</x:v>
      </x:c>
      <x:c r="C29" s="30" t="str">
        <x:v>中村真人・山岡賢・相原秀基・柚山義人・折立文子（2014）「メタン発酵槽内に蓄積する物質の成分的特徴」『農村工学研究所技報』215：31–37.</x:v>
      </x:c>
      <x:c r="D29" s="30" t="str">
        <x:v>中村真人・山岡賢・相原秀基・柚山義人・折立文子（2014）「メタン発酵槽内に蓄積する物質の成分的特徴」『農村工学研究所技報』215：31–37.</x:v>
      </x:c>
      <x:c r="E29" s="30" t="str">
        <x:v>中村真人・山岡賢・相原秀基・柚山義人・折立文子（2014）「メタン発酵槽内に蓄積する物質の成分的特徴」『農村工学研究所技報』215：31–37.</x:v>
      </x:c>
      <x:c r="F29" s="30" t="str">
        <x:v>中村真人・山岡賢・相原秀基・柚山義人・折立文子（2014）「メタン発酵槽内に蓄積する物質の成分的特徴」『農村工学研究所技報』215：31–37.</x:v>
      </x:c>
      <x:c r="G29" s="30" t="str">
        <x:v>中村真人・山岡賢・相原秀基・柚山義人・折立文子（2014）「メタン発酵槽内に蓄積する物質の成分的特徴」『農村工学研究所技報』215：31–37.</x:v>
      </x:c>
      <x:c r="H29" s="30" t="str">
        <x:v>中村真人・山岡賢・相原秀基・柚山義人・折立文子（2014）「メタン発酵槽内に蓄積する物質の成分的特徴」『農村工学研究所技報』215：31–37.</x:v>
      </x:c>
      <x:c r="I29" s="30" t="str">
        <x:v>中村真人・山岡賢・相原秀基・柚山義人・折立文子（2014）「メタン発酵槽内に蓄積する物質の成分的特徴」『農村工学研究所技報』215：31–37.</x:v>
      </x:c>
    </x:row>
    <x:row r="30" ht="34" customHeight="1">
      <x:c r="A30" s="30" t="str">
        <x:v>(5)</x:v>
      </x:c>
      <x:c r="B30" s="30" t="str">
        <x:v>脱炭素に向けた農林業環境研究コンソーシアム編（2025）『バイオ炭の農業利用事例とその活用ガイドブック』.</x:v>
      </x:c>
      <x:c r="C30" s="30" t="str">
        <x:v>脱炭素に向けた農林業環境研究コンソーシアム編（2025）『バイオ炭の農業利用事例とその活用ガイドブック』.</x:v>
      </x:c>
      <x:c r="D30" s="30" t="str">
        <x:v>脱炭素に向けた農林業環境研究コンソーシアム編（2025）『バイオ炭の農業利用事例とその活用ガイドブック』.</x:v>
      </x:c>
      <x:c r="E30" s="30" t="str">
        <x:v>脱炭素に向けた農林業環境研究コンソーシアム編（2025）『バイオ炭の農業利用事例とその活用ガイドブック』.</x:v>
      </x:c>
      <x:c r="F30" s="30" t="str">
        <x:v>脱炭素に向けた農林業環境研究コンソーシアム編（2025）『バイオ炭の農業利用事例とその活用ガイドブック』.</x:v>
      </x:c>
      <x:c r="G30" s="30" t="str">
        <x:v>脱炭素に向けた農林業環境研究コンソーシアム編（2025）『バイオ炭の農業利用事例とその活用ガイドブック』.</x:v>
      </x:c>
      <x:c r="H30" s="30" t="str">
        <x:v>脱炭素に向けた農林業環境研究コンソーシアム編（2025）『バイオ炭の農業利用事例とその活用ガイドブック』.</x:v>
      </x:c>
      <x:c r="I30" s="30" t="str">
        <x:v>脱炭素に向けた農林業環境研究コンソーシアム編（2025）『バイオ炭の農業利用事例とその活用ガイドブック』.</x:v>
      </x:c>
    </x:row>
    <x:row r="31" ht="34" customHeight="1">
      <x:c r="A31" s="30" t="str">
        <x:v>(6)</x:v>
      </x:c>
      <x:c r="B31" s="30" t="str">
        <x:v>折橋健・山田敦・高橋徹・田代直明・古賀信也（2011）「木質バイオマス燃焼灰の林地還元に向けた基礎知見―カラマツペレット燃焼灰を用いた検討―」『九州大学農学部演習林報告』92：13–18.</x:v>
      </x:c>
      <x:c r="C31" s="30" t="str">
        <x:v>折橋健・山田敦・高橋徹・田代直明・古賀信也（2011）「木質バイオマス燃焼灰の林地還元に向けた基礎知見―カラマツペレット燃焼灰を用いた検討―」『九州大学農学部演習林報告』92：13–18.</x:v>
      </x:c>
      <x:c r="D31" s="30" t="str">
        <x:v>折橋健・山田敦・高橋徹・田代直明・古賀信也（2011）「木質バイオマス燃焼灰の林地還元に向けた基礎知見―カラマツペレット燃焼灰を用いた検討―」『九州大学農学部演習林報告』92：13–18.</x:v>
      </x:c>
      <x:c r="E31" s="30" t="str">
        <x:v>折橋健・山田敦・高橋徹・田代直明・古賀信也（2011）「木質バイオマス燃焼灰の林地還元に向けた基礎知見―カラマツペレット燃焼灰を用いた検討―」『九州大学農学部演習林報告』92：13–18.</x:v>
      </x:c>
      <x:c r="F31" s="30" t="str">
        <x:v>折橋健・山田敦・高橋徹・田代直明・古賀信也（2011）「木質バイオマス燃焼灰の林地還元に向けた基礎知見―カラマツペレット燃焼灰を用いた検討―」『九州大学農学部演習林報告』92：13–18.</x:v>
      </x:c>
      <x:c r="G31" s="30" t="str">
        <x:v>折橋健・山田敦・高橋徹・田代直明・古賀信也（2011）「木質バイオマス燃焼灰の林地還元に向けた基礎知見―カラマツペレット燃焼灰を用いた検討―」『九州大学農学部演習林報告』92：13–18.</x:v>
      </x:c>
      <x:c r="H31" s="30" t="str">
        <x:v>折橋健・山田敦・高橋徹・田代直明・古賀信也（2011）「木質バイオマス燃焼灰の林地還元に向けた基礎知見―カラマツペレット燃焼灰を用いた検討―」『九州大学農学部演習林報告』92：13–18.</x:v>
      </x:c>
      <x:c r="I31" s="30" t="str">
        <x:v>折橋健・山田敦・高橋徹・田代直明・古賀信也（2011）「木質バイオマス燃焼灰の林地還元に向けた基礎知見―カラマツペレット燃焼灰を用いた検討―」『九州大学農学部演習林報告』92：13–18.</x:v>
      </x:c>
    </x:row>
    <x:row r="32" ht="34" customHeight="1">
      <x:c r="A32" s="30" t="str">
        <x:v>(7)</x:v>
      </x:c>
      <x:c r="B32" s="30" t="str">
        <x:v>農業・食品産業技術総合研究機構農村工学研究所（2012）『メタン発酵消化液の畑地における液肥利用―肥料効果と環境への影響―』農業・食品産業技術総合研究機構農村工学研究所.</x:v>
      </x:c>
      <x:c r="C32" s="30" t="str">
        <x:v>農業・食品産業技術総合研究機構農村工学研究所（2012）『メタン発酵消化液の畑地における液肥利用―肥料効果と環境への影響―』農業・食品産業技術総合研究機構農村工学研究所.</x:v>
      </x:c>
      <x:c r="D32" s="30" t="str">
        <x:v>農業・食品産業技術総合研究機構農村工学研究所（2012）『メタン発酵消化液の畑地における液肥利用―肥料効果と環境への影響―』農業・食品産業技術総合研究機構農村工学研究所.</x:v>
      </x:c>
      <x:c r="E32" s="30" t="str">
        <x:v>農業・食品産業技術総合研究機構農村工学研究所（2012）『メタン発酵消化液の畑地における液肥利用―肥料効果と環境への影響―』農業・食品産業技術総合研究機構農村工学研究所.</x:v>
      </x:c>
      <x:c r="F32" s="30" t="str">
        <x:v>農業・食品産業技術総合研究機構農村工学研究所（2012）『メタン発酵消化液の畑地における液肥利用―肥料効果と環境への影響―』農業・食品産業技術総合研究機構農村工学研究所.</x:v>
      </x:c>
      <x:c r="G32" s="30" t="str">
        <x:v>農業・食品産業技術総合研究機構農村工学研究所（2012）『メタン発酵消化液の畑地における液肥利用―肥料効果と環境への影響―』農業・食品産業技術総合研究機構農村工学研究所.</x:v>
      </x:c>
      <x:c r="H32" s="30" t="str">
        <x:v>農業・食品産業技術総合研究機構農村工学研究所（2012）『メタン発酵消化液の畑地における液肥利用―肥料効果と環境への影響―』農業・食品産業技術総合研究機構農村工学研究所.</x:v>
      </x:c>
      <x:c r="I32" s="30" t="str">
        <x:v>農業・食品産業技術総合研究機構農村工学研究所（2012）『メタン発酵消化液の畑地における液肥利用―肥料効果と環境への影響―』農業・食品産業技術総合研究機構農村工学研究所.</x:v>
      </x:c>
    </x:row>
  </x:sheetData>
  <x:mergeCells>
    <x:mergeCell ref="A1:I1"/>
    <x:mergeCell ref="A2:I2"/>
    <x:mergeCell ref="A4:I4"/>
    <x:mergeCell ref="A13:I13"/>
    <x:mergeCell ref="A17:I17"/>
    <x:mergeCell ref="A18:I18"/>
    <x:mergeCell ref="A19:I19"/>
    <x:mergeCell ref="A20:I20"/>
    <x:mergeCell ref="A21:I21"/>
    <x:mergeCell ref="A22:I22"/>
    <x:mergeCell ref="A23:I23"/>
    <x:mergeCell ref="A25:I25"/>
    <x:mergeCell ref="B26:I26"/>
    <x:mergeCell ref="B27:I27"/>
    <x:mergeCell ref="B28:I28"/>
    <x:mergeCell ref="B29:I29"/>
    <x:mergeCell ref="B30:I30"/>
    <x:mergeCell ref="B31:I31"/>
    <x:mergeCell ref="B32:I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8" hidden="0" customWidth="1"/>
    <x:col min="3" max="3" width="13"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42" hidden="0" customWidth="1"/>
  </x:cols>
  <x:sheetData>
    <x:row r="1">
      <x:c r="A1" s="5" t="str">
        <x:v>元データ・換算確認</x:v>
      </x:c>
      <x:c r="B1" s="5" t="str">
        <x:v>元データ・換算確認</x:v>
      </x:c>
      <x:c r="C1" s="5" t="str">
        <x:v>元データ・換算確認</x:v>
      </x:c>
      <x:c r="D1" s="5" t="str">
        <x:v>元データ・換算確認</x:v>
      </x:c>
      <x:c r="E1" s="5" t="str">
        <x:v>元データ・換算確認</x:v>
      </x:c>
      <x:c r="F1" s="5" t="str">
        <x:v>元データ・換算確認</x:v>
      </x:c>
      <x:c r="G1" s="5" t="str">
        <x:v>元データ・換算確認</x:v>
      </x:c>
      <x:c r="H1" s="5" t="str">
        <x:v>元データ・換算確認</x:v>
      </x:c>
      <x:c r="I1" s="5" t="str">
        <x:v>元データ・換算確認</x:v>
      </x:c>
      <x:c r="J1" s="5" t="str">
        <x:v>元データ・換算確認</x:v>
      </x:c>
      <x:c r="K1" s="5" t="str">
        <x:v>元データ・換算確認</x:v>
      </x:c>
      <x:c r="L1" s="5" t="str">
        <x:v>元データ・換算確認</x:v>
      </x:c>
      <x:c r="M1" s="5" t="str">
        <x:v>元データ・換算確認</x:v>
      </x:c>
      <x:c r="N1" s="5" t="str">
        <x:v>元データ・換算確認</x:v>
      </x:c>
      <x:c r="O1" s="5" t="str">
        <x:v>元データ・換算確認</x:v>
      </x:c>
      <x:c r="P1" s="5" t="str">
        <x:v>元データ・換算確認</x:v>
      </x:c>
      <x:c r="Q1" s="5" t="str">
        <x:v>元データ・換算確認</x:v>
      </x:c>
      <x:c r="R1" s="5" t="str">
        <x:v>元データ・換算確認</x:v>
      </x:c>
    </x:row>
    <x:row r="3">
      <x:c r="A3" s="37" t="str">
        <x:v>資材</x:v>
      </x:c>
      <x:c r="B3" s="37" t="str">
        <x:v>参照</x:v>
      </x:c>
      <x:c r="C3" s="37" t="str">
        <x:v>基準</x:v>
      </x:c>
      <x:c r="D3" s="37" t="str">
        <x:v>水分（%）</x:v>
      </x:c>
      <x:c r="E3" s="37" t="str">
        <x:v>乾物率</x:v>
      </x:c>
      <x:c r="F3" s="37" t="str">
        <x:v>C（%またはg/L）</x:v>
      </x:c>
      <x:c r="G3" s="37" t="str">
        <x:v>N 原文値</x:v>
      </x:c>
      <x:c r="H3" s="37" t="str">
        <x:v>P 原文値</x:v>
      </x:c>
      <x:c r="I3" s="37" t="str">
        <x:v>K 原文値</x:v>
      </x:c>
      <x:c r="J3" s="37" t="str">
        <x:v>Ca 原文値</x:v>
      </x:c>
      <x:c r="K3" s="37" t="str">
        <x:v>Mg 原文値</x:v>
      </x:c>
      <x:c r="L3" s="37" t="str">
        <x:v>P等の原文表記</x:v>
      </x:c>
      <x:c r="M3" s="37" t="str">
        <x:v>N 換算後</x:v>
      </x:c>
      <x:c r="N3" s="37" t="str">
        <x:v>P 換算後</x:v>
      </x:c>
      <x:c r="O3" s="37" t="str">
        <x:v>K 換算後</x:v>
      </x:c>
      <x:c r="P3" s="37" t="str">
        <x:v>Ca 換算後</x:v>
      </x:c>
      <x:c r="Q3" s="37" t="str">
        <x:v>Mg 換算後</x:v>
      </x:c>
      <x:c r="R3" s="37" t="str">
        <x:v>補足</x:v>
      </x:c>
    </x:row>
    <x:row r="4">
      <x:c r="A4" s="38" t="str">
        <x:v>牛ふん堆肥</x:v>
      </x:c>
      <x:c r="B4" s="38" t="str">
        <x:v>(1)</x:v>
      </x:c>
      <x:c r="C4" s="38" t="str">
        <x:v>乾物→原物</x:v>
      </x:c>
      <x:c r="D4" s="39" t="n">
        <x:v>39.2</x:v>
      </x:c>
      <x:c r="E4" s="39" t="n">
        <x:f>1-D2/100</x:f>
        <x:v>1</x:v>
      </x:c>
      <x:c r="F4" s="39" t="n">
        <x:v>25.2</x:v>
      </x:c>
      <x:c r="G4" s="39" t="n">
        <x:v>2.2</x:v>
      </x:c>
      <x:c r="H4" s="39" t="n">
        <x:v>2.4</x:v>
      </x:c>
      <x:c r="I4" s="39" t="n">
        <x:v>3.5</x:v>
      </x:c>
      <x:c r="J4" s="39" t="n">
        <x:v>3.5</x:v>
      </x:c>
      <x:c r="K4" s="39" t="n">
        <x:v>1.6</x:v>
      </x:c>
      <x:c r="L4" s="39" t="str">
        <x:v>N, P2O5, K2O, CaO, MgO（%DM）</x:v>
      </x:c>
      <x:c r="M4" s="39" t="n">
        <x:f>G2*10*E2</x:f>
        <x:v>0</x:v>
      </x:c>
      <x:c r="N4" s="39" t="n">
        <x:f>H2*10*0.4364*E2</x:f>
        <x:v>0</x:v>
      </x:c>
      <x:c r="O4" s="39" t="n">
        <x:f>I2*10*0.8301*E2</x:f>
        <x:v>0</x:v>
      </x:c>
      <x:c r="P4" s="39" t="n">
        <x:f>J2*10*0.7147*E2</x:f>
        <x:v>0</x:v>
      </x:c>
      <x:c r="Q4" s="39" t="n">
        <x:f>K2*10*0.6030*E2</x:f>
        <x:v>0</x:v>
      </x:c>
      <x:c r="R4" s="38" t="str">
        <x:v>2013-2023年、牛ふん堆肥140点の平均値。</x:v>
      </x:c>
    </x:row>
    <x:row r="5">
      <x:c r="A5" s="38" t="str">
        <x:v>下水汚泥コンポスト（高島浄化センター）</x:v>
      </x:c>
      <x:c r="B5" s="38" t="str">
        <x:v>(2)</x:v>
      </x:c>
      <x:c r="C5" s="38" t="str">
        <x:v>原物</x:v>
      </x:c>
      <x:c r="D5" s="39" t="n">
        <x:v>25.6</x:v>
      </x:c>
      <x:c r="E5" s="39" t="e">
        <x:f>1-D3/100</x:f>
        <x:v>#VALUE!</x:v>
      </x:c>
      <x:c r="F5" s="39" t="n">
        <x:v>13.5</x:v>
      </x:c>
      <x:c r="G5" s="39" t="n">
        <x:v>1.84</x:v>
      </x:c>
      <x:c r="H5" s="39" t="n">
        <x:v>4.53</x:v>
      </x:c>
      <x:c r="I5" s="39" t="n">
        <x:v>0.19</x:v>
      </x:c>
      <x:c r="J5" s="39" t="n">
        <x:v>17.5</x:v>
      </x:c>
      <x:c r="K5" s="39" t="n">
        <x:v>0.55</x:v>
      </x:c>
      <x:c r="L5" s="39" t="str">
        <x:v>TN, TC, P2O5, K2O, CaO, MgO（%現物）</x:v>
      </x:c>
      <x:c r="M5" s="39" t="e">
        <x:f>G3*10</x:f>
        <x:v>#VALUE!</x:v>
      </x:c>
      <x:c r="N5" s="39" t="e">
        <x:f>H3*10*0.4364</x:f>
        <x:v>#VALUE!</x:v>
      </x:c>
      <x:c r="O5" s="39" t="e">
        <x:f>I3*10*0.8301</x:f>
        <x:v>#VALUE!</x:v>
      </x:c>
      <x:c r="P5" s="39" t="e">
        <x:f>J3*10*0.7147</x:f>
        <x:v>#VALUE!</x:v>
      </x:c>
      <x:c r="Q5" s="39" t="e">
        <x:f>K3*10*0.6030</x:f>
        <x:v>#VALUE!</x:v>
      </x:c>
      <x:c r="R5" s="38" t="str">
        <x:v>実際の施用量計算に用いられている値。</x:v>
      </x:c>
    </x:row>
    <x:row r="6">
      <x:c r="A6" s="38" t="str">
        <x:v>固形消化残渣（脱水ケーキ）</x:v>
      </x:c>
      <x:c r="B6" s="38" t="str">
        <x:v>(3)</x:v>
      </x:c>
      <x:c r="C6" s="38" t="str">
        <x:v>乾物→原物</x:v>
      </x:c>
      <x:c r="D6" s="39" t="n">
        <x:v>78.1</x:v>
      </x:c>
      <x:c r="E6" s="39" t="n">
        <x:f>1-D4/100</x:f>
        <x:v>0.608</x:v>
      </x:c>
      <x:c r="F6" s="39" t="n">
        <x:v>38</x:v>
      </x:c>
      <x:c r="G6" s="39" t="n">
        <x:v>4.6</x:v>
      </x:c>
      <x:c r="H6" s="39" t="n">
        <x:v>2.3</x:v>
      </x:c>
      <x:c r="I6" s="39" t="n">
        <x:v>1</x:v>
      </x:c>
      <x:c r="J6" s="39" t="n">
        <x:v>4.4</x:v>
      </x:c>
      <x:c r="K6" s="39" t="n">
        <x:v>1.3</x:v>
      </x:c>
      <x:c r="L6" s="39" t="str">
        <x:v>C, N, P, K, Ca, Mg（%DM、元素）</x:v>
      </x:c>
      <x:c r="M6" s="39" t="n">
        <x:f>G4*10*E4</x:f>
        <x:v>22</x:v>
      </x:c>
      <x:c r="N6" s="39" t="n">
        <x:f>H4*10*E4</x:f>
        <x:v>24</x:v>
      </x:c>
      <x:c r="O6" s="39" t="n">
        <x:f>I4*10*E4</x:f>
        <x:v>35</x:v>
      </x:c>
      <x:c r="P6" s="39" t="n">
        <x:f>J4*10*E4</x:f>
        <x:v>35</x:v>
      </x:c>
      <x:c r="Q6" s="39" t="n">
        <x:f>K4*10*E4</x:f>
        <x:v>16</x:v>
      </x:c>
      <x:c r="R6" s="38" t="str">
        <x:v>山田バイオマスプラントの脱水ケーキ。</x:v>
      </x:c>
    </x:row>
    <x:row r="7">
      <x:c r="A7" s="38" t="str">
        <x:v>メタン発酵槽底部堆積物</x:v>
      </x:c>
      <x:c r="B7" s="38" t="str">
        <x:v>(4)</x:v>
      </x:c>
      <x:c r="C7" s="38" t="str">
        <x:v>乾物→原物</x:v>
      </x:c>
      <x:c r="D7" s="39" t="n">
        <x:v>54.9</x:v>
      </x:c>
      <x:c r="E7" s="39" t="n">
        <x:f>1-D5/100</x:f>
        <x:v>0.744</x:v>
      </x:c>
      <x:c r="F7" s="39" t="n">
        <x:v>9.6</x:v>
      </x:c>
      <x:c r="G7" s="39" t="n">
        <x:v>1.83</x:v>
      </x:c>
      <x:c r="H7" s="39" t="n">
        <x:v>4.84</x:v>
      </x:c>
      <x:c r="I7" s="39" t="n">
        <x:v>0.383</x:v>
      </x:c>
      <x:c r="J7" s="39" t="n">
        <x:v>5.66</x:v>
      </x:c>
      <x:c r="K7" s="39" t="n">
        <x:v>3.26</x:v>
      </x:c>
      <x:c r="L7" s="39" t="str">
        <x:v>C, N, P, K, Ca, Mg（%DM、元素）</x:v>
      </x:c>
      <x:c r="M7" s="39" t="e">
        <x:f>G5*10*E5</x:f>
        <x:v>#VALUE!</x:v>
      </x:c>
      <x:c r="N7" s="39" t="e">
        <x:f>H5*10*E5</x:f>
        <x:v>#VALUE!</x:v>
      </x:c>
      <x:c r="O7" s="39" t="e">
        <x:f>I5*10*E5</x:f>
        <x:v>#VALUE!</x:v>
      </x:c>
      <x:c r="P7" s="39" t="e">
        <x:f>J5*10*E5</x:f>
        <x:v>#VALUE!</x:v>
      </x:c>
      <x:c r="Q7" s="39" t="e">
        <x:f>K5*10*E5</x:f>
        <x:v>#VALUE!</x:v>
      </x:c>
      <x:c r="R7" s="38" t="str">
        <x:v>発酵槽底部に蓄積し、維持管理上除去が必要となる堆積物。</x:v>
      </x:c>
    </x:row>
    <x:row r="8">
      <x:c r="A8" s="38" t="str">
        <x:v>バイオ炭（もみ殻炭）</x:v>
      </x:c>
      <x:c r="B8" s="38" t="str">
        <x:v>(5)</x:v>
      </x:c>
      <x:c r="C8" s="38" t="str">
        <x:v>基準不明</x:v>
      </x:c>
      <x:c r="D8" s="39" t="str">
        <x:v>―</x:v>
      </x:c>
      <x:c r="E8" s="39" t="str">
        <x:v>―</x:v>
      </x:c>
      <x:c r="F8" s="39" t="str">
        <x:v>―</x:v>
      </x:c>
      <x:c r="G8" s="39" t="n">
        <x:v>0.57</x:v>
      </x:c>
      <x:c r="H8" s="39" t="n">
        <x:v>0.23</x:v>
      </x:c>
      <x:c r="I8" s="39" t="n">
        <x:v>1.37</x:v>
      </x:c>
      <x:c r="J8" s="39" t="n">
        <x:v>0.38</x:v>
      </x:c>
      <x:c r="K8" s="39" t="n">
        <x:v>0.17</x:v>
      </x:c>
      <x:c r="L8" s="39" t="str">
        <x:v>N, P2O5, K2O, CaO, MgO（%）</x:v>
      </x:c>
      <x:c r="M8" s="39" t="n">
        <x:f>G6*10</x:f>
        <x:v>46</x:v>
      </x:c>
      <x:c r="N8" s="39" t="n">
        <x:f>H6*10*0.4364</x:f>
        <x:v>10.0372</x:v>
      </x:c>
      <x:c r="O8" s="39" t="n">
        <x:f>I6*10*0.8301</x:f>
        <x:v>8.301</x:v>
      </x:c>
      <x:c r="P8" s="39" t="n">
        <x:f>J6*10*0.7147</x:f>
        <x:v>31.4468</x:v>
      </x:c>
      <x:c r="Q8" s="39" t="n">
        <x:f>K6*10*0.6030</x:f>
        <x:v>7.8389999999999995</x:v>
      </x:c>
      <x:c r="R8" s="38" t="str">
        <x:v>水分とC/N比の記載なし。成分値の乾物・原物基準も明示なし。</x:v>
      </x:c>
    </x:row>
    <x:row r="9">
      <x:c r="A9" s="38" t="str">
        <x:v>木質バイオマス燃焼灰</x:v>
      </x:c>
      <x:c r="B9" s="38" t="str">
        <x:v>(6)</x:v>
      </x:c>
      <x:c r="C9" s="38" t="str">
        <x:v>乾物→原物</x:v>
      </x:c>
      <x:c r="D9" s="39" t="n">
        <x:v>1.7</x:v>
      </x:c>
      <x:c r="E9" s="39" t="n">
        <x:f>1-D7/100</x:f>
        <x:v>0.45100000000000007</x:v>
      </x:c>
      <x:c r="F9" s="39" t="str"/>
      <x:c r="G9" s="39" t="n">
        <x:v>0.07</x:v>
      </x:c>
      <x:c r="H9" s="39" t="n">
        <x:v>2.5</x:v>
      </x:c>
      <x:c r="I9" s="39" t="n">
        <x:v>14</x:v>
      </x:c>
      <x:c r="J9" s="39" t="n">
        <x:v>17</x:v>
      </x:c>
      <x:c r="K9" s="39" t="n">
        <x:v>3.9</x:v>
      </x:c>
      <x:c r="L9" s="39" t="str">
        <x:v>N, P, K, Ca, Mg（%DM、元素）</x:v>
      </x:c>
      <x:c r="M9" s="39" t="n">
        <x:f>G7*10*E7</x:f>
        <x:v>13.6152</x:v>
      </x:c>
      <x:c r="N9" s="39" t="n">
        <x:f>H7*10*E7</x:f>
        <x:v>36.0096</x:v>
      </x:c>
      <x:c r="O9" s="39" t="n">
        <x:f>I7*10*E7</x:f>
        <x:v>2.84952</x:v>
      </x:c>
      <x:c r="P9" s="39" t="n">
        <x:f>J7*10*E7</x:f>
        <x:v>42.1104</x:v>
      </x:c>
      <x:c r="Q9" s="39" t="n">
        <x:f>K7*10*E7</x:f>
        <x:v>24.254399999999997</x:v>
      </x:c>
      <x:c r="R9" s="38" t="str">
        <x:v>C/N比67は原資料値。ただし有機質資材と同じ意味では比較しにくい。</x:v>
      </x:c>
    </x:row>
    <x:row r="10">
      <x:c r="A10" s="38" t="str">
        <x:v>メタン発酵消化液</x:v>
      </x:c>
      <x:c r="B10" s="38" t="str">
        <x:v>(7)</x:v>
      </x:c>
      <x:c r="C10" s="38" t="str">
        <x:v>原液</x:v>
      </x:c>
      <x:c r="D10" s="39" t="n">
        <x:v>95.8</x:v>
      </x:c>
      <x:c r="E10" s="39" t="str"/>
      <x:c r="F10" s="39" t="n">
        <x:v>9600</x:v>
      </x:c>
      <x:c r="G10" s="39" t="n">
        <x:v>3400</x:v>
      </x:c>
      <x:c r="H10" s="39" t="n">
        <x:v>1200</x:v>
      </x:c>
      <x:c r="I10" s="39" t="n">
        <x:v>3900</x:v>
      </x:c>
      <x:c r="J10" s="39" t="str">
        <x:v>―</x:v>
      </x:c>
      <x:c r="K10" s="39" t="str">
        <x:v>―</x:v>
      </x:c>
      <x:c r="L10" s="39" t="str">
        <x:v>N, Cはmg/L、P2O5とK2Oはmg/L</x:v>
      </x:c>
      <x:c r="M10" s="39" t="n">
        <x:f>G8/1000</x:f>
        <x:v>0.00057</x:v>
      </x:c>
      <x:c r="N10" s="39" t="n">
        <x:f>H8/1000*0.4364</x:f>
        <x:v>0.00010037200000000001</x:v>
      </x:c>
      <x:c r="O10" s="39" t="n">
        <x:f>I8/1000*0.8301</x:f>
        <x:v>0.001137237</x:v>
      </x:c>
      <x:c r="P10" s="39" t="str">
        <x:v>―</x:v>
      </x:c>
      <x:c r="Q10" s="39" t="str">
        <x:v>―</x:v>
      </x:c>
      <x:c r="R10" s="38" t="str">
        <x:v>C/N比は9600/3400。</x:v>
      </x:c>
    </x:row>
    <x:row r="12">
      <x:c r="A12" s="14" t="str">
        <x:v>換算係数</x:v>
      </x:c>
      <x:c r="B12" s="14" t="str">
        <x:v>係数</x:v>
      </x:c>
      <x:c r="C12" s="14" t="str">
        <x:v>用途</x:v>
      </x:c>
      <x:c r="D12" t="str"/>
    </x:row>
    <x:row r="13">
      <x:c r="A13" s="17" t="str">
        <x:v>P2O5→P</x:v>
      </x:c>
      <x:c r="B13" s="17" t="n">
        <x:v>0.4364</x:v>
      </x:c>
      <x:c r="C13" s="17" t="str">
        <x:v>リン酸から元素Pへ換算</x:v>
      </x:c>
    </x:row>
    <x:row r="14">
      <x:c r="A14" s="17" t="str">
        <x:v>K2O→K</x:v>
      </x:c>
      <x:c r="B14" s="17" t="n">
        <x:v>0.8301</x:v>
      </x:c>
      <x:c r="C14" s="17" t="str">
        <x:v>加里から元素Kへ換算</x:v>
      </x:c>
    </x:row>
    <x:row r="15">
      <x:c r="A15" s="17" t="str">
        <x:v>CaO→Ca</x:v>
      </x:c>
      <x:c r="B15" s="17" t="n">
        <x:v>0.7147</x:v>
      </x:c>
      <x:c r="C15" s="17" t="str">
        <x:v>石灰から元素Caへ換算</x:v>
      </x:c>
    </x:row>
    <x:row r="16">
      <x:c r="A16" s="17" t="str">
        <x:v>MgO→Mg</x:v>
      </x:c>
      <x:c r="B16" s="17" t="n">
        <x:v>0.603</x:v>
      </x:c>
      <x:c r="C16" s="17" t="str">
        <x:v>苦土から元素Mgへ換算</x:v>
      </x:c>
    </x:row>
  </x:sheetData>
  <x:mergeCells>
    <x:mergeCell ref="A1:R1"/>
  </x:mergeCells>
  <x:pageMargins left="0.7" right="0.7" top="0.75" bottom="0.75" header="0.3" footer="0.3"/>
</x:worksheet>
</file>